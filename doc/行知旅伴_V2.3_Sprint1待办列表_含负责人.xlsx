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lenovo\Desktop\实训\outputs\01a03250-7e4b-7672-a2ac-e551dc58552f\"/>
    </mc:Choice>
  </mc:AlternateContent>
  <bookViews>
    <workbookView windowWidth="21094" windowHeight="9805" activeTab="3"/>
  </bookViews>
  <sheets>
    <sheet name="版权说明" sheetId="4" r:id="rId1"/>
    <sheet name="SprintBacklog模板" sheetId="2" r:id="rId2"/>
    <sheet name="燃尽图" sheetId="5" r:id="rId3"/>
    <sheet name="PBI追溯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作者</author>
  </authors>
  <commentList>
    <comment ref="C1" authorId="0">
      <text>
        <r>
          <rPr>
            <sz val="10"/>
            <rFont val="宋体"/>
            <charset val="134"/>
          </rPr>
          <t>作者:
示例团队的速率为80个故事点</t>
        </r>
      </text>
    </comment>
    <comment ref="E1" authorId="0">
      <text>
        <r>
          <rPr>
            <sz val="10"/>
            <rFont val="宋体"/>
            <charset val="134"/>
          </rPr>
          <t>作者:
优先级预留后面两位，使调整优先级的时候更加方便</t>
        </r>
      </text>
    </comment>
    <comment ref="G3" authorId="0">
      <text>
        <r>
          <rPr>
            <sz val="10"/>
            <rFont val="宋体"/>
            <charset val="134"/>
          </rPr>
          <t>作者:
Sprint承诺完成600h工作量</t>
        </r>
      </text>
    </comment>
  </commentList>
</comments>
</file>

<file path=xl/sharedStrings.xml><?xml version="1.0" encoding="utf-8"?>
<sst xmlns="http://schemas.openxmlformats.org/spreadsheetml/2006/main" count="827" uniqueCount="379">
  <si>
    <t>行知旅伴 V2.3 · Sprint 1 待办列表</t>
  </si>
  <si>
    <t>学校 Sprint 模板</t>
  </si>
  <si>
    <t>C:\Users\lenovo\Desktop\实训\提供的文档\Spint待办列表.xls</t>
  </si>
  <si>
    <t>V2.3 产品待办表</t>
  </si>
  <si>
    <t>C:\Users\lenovo\Desktop\实训\outputs\01a00673-ca65-7ae2-aa59-5ea1ef27f253\行知旅伴_V2.3_产品待办列表_含负责人.xlsx</t>
  </si>
  <si>
    <t>V2.3 项目规划</t>
  </si>
  <si>
    <t>C:\Users\lenovo\Desktop\实训\行知旅伴_旅行规划Agent_Scrum项目规划_V2.3.docx</t>
  </si>
  <si>
    <t>Sprint Goal</t>
  </si>
  <si>
    <t>第一次 Review 就能展示关怀单人完整 Agent</t>
  </si>
  <si>
    <t>开发容量</t>
  </si>
  <si>
    <t>48 人时：陈梓元、王敬博、张琪、林粲涵各 12 小时；Day1 6h + Day2 6h；Day3 常规开发容量 0h。</t>
  </si>
  <si>
    <t>团队</t>
  </si>
  <si>
    <t>四人均承担开发任务；陈梓元兼任 PO、王敬博兼任 SM、张琪与林粲涵兼任 QA。兼任职责不形成技术岗位壁垒。</t>
  </si>
  <si>
    <t>生成日期</t>
  </si>
  <si>
    <t>2026-08-24</t>
  </si>
  <si>
    <t>范围口径：仅纳入产品待办表中 Sprint1 的 12 条 PBI，并拆为 24 个可执行 Task。GPS 到达辅助、任务照片、迟到/疲劳事件、完整旅行回忆页保留到 Sprint2；双方案与美团 Skill 属于 P1；成员独立加入属于 Future。Story Point 只保留为相对估算，绝不直接换算工时。PR 评审人在实际提交时从非作者成员中按风险与可用性临时指定，不设固定互评搭档。</t>
  </si>
  <si>
    <t>燃尽图由Sprintbacklog中的数据自动生成。</t>
  </si>
  <si>
    <t>本模板由Scrum中文网提供，欢迎推荐给任何在实践Scrum的朋友使用。</t>
  </si>
  <si>
    <t>Scrum中文网(ScrumCN.COM)版权所有</t>
  </si>
  <si>
    <t>Task-ID</t>
  </si>
  <si>
    <t>PBI-ID</t>
  </si>
  <si>
    <t>AC-ID</t>
  </si>
  <si>
    <t>用户故事 / PBI 条目</t>
  </si>
  <si>
    <t>可执行 Task</t>
  </si>
  <si>
    <t>优先级</t>
  </si>
  <si>
    <t>PBI Story Point
（不换算工时）</t>
  </si>
  <si>
    <t>估算（小时）</t>
  </si>
  <si>
    <t>计划完成日</t>
  </si>
  <si>
    <t>前置依赖</t>
  </si>
  <si>
    <t>负责人</t>
  </si>
  <si>
    <t>可协作人 / 动态评审</t>
  </si>
  <si>
    <t>状态</t>
  </si>
  <si>
    <t>验收条件</t>
  </si>
  <si>
    <t>交付证据</t>
  </si>
  <si>
    <t>3 天 Sprint 燃尽（任务级剩余工时）</t>
  </si>
  <si>
    <t>完成判定</t>
  </si>
  <si>
    <t>Day1 计划</t>
  </si>
  <si>
    <t>Day1 实际</t>
  </si>
  <si>
    <t>Day2 计划</t>
  </si>
  <si>
    <t>Day2 实际</t>
  </si>
  <si>
    <t>Day3 计划</t>
  </si>
  <si>
    <t>Day3 实际</t>
  </si>
  <si>
    <t>S1-T001</t>
  </si>
  <si>
    <t>PBI-01-A</t>
  </si>
  <si>
    <t>AC-01-A</t>
  </si>
  <si>
    <t>全国城市需求与统一行程模型</t>
  </si>
  <si>
    <t>定义 CityContext、Trip、participants[0] 与 days[0] 的统一 Schema，并接入结构化校验。</t>
  </si>
  <si>
    <t>Must</t>
  </si>
  <si>
    <t>Day1</t>
  </si>
  <si>
    <t>无</t>
  </si>
  <si>
    <t>陈梓元</t>
  </si>
  <si>
    <t>可协作：张琪/林粲涵；PR 由非作者按 Schema 风险与可用性临时指定。</t>
  </si>
  <si>
    <t>计划中</t>
  </si>
  <si>
    <t>Given 北京/上海/成都 3 组合法输入；When 校验 Schema；Then 全部通过且 cityCode、participants[0]、days[0] 可恢复；缺字段返回字段级错误，代码中无北京硬编码。</t>
  </si>
  <si>
    <t>PR；Schema 快照；3 城单元测试日志；缺字段失败用例。</t>
  </si>
  <si>
    <t>S1-T002</t>
  </si>
  <si>
    <t>实现自然语言日期、时间、预算、兴趣与地点限制的解析及歧义确认清单。</t>
  </si>
  <si>
    <t>张琪</t>
  </si>
  <si>
    <t>可协作：陈梓元/王敬博；PR 由非作者按解析与交互风险临时指定。</t>
  </si>
  <si>
    <t>Given 5 组含缺失/歧义的自然语言需求；When 解析；Then 明确值写入统一模型，缺失/歧义逐项进入确认清单，未经确认不得进入规划。</t>
  </si>
  <si>
    <t>PR；5 组 Fixture；解析结果 JSON；确认清单截图。</t>
  </si>
  <si>
    <t>S1-T003</t>
  </si>
  <si>
    <t>PBI-01-B</t>
  </si>
  <si>
    <t>AC-01-B</t>
  </si>
  <si>
    <t>AssistanceProfile 与约束确认</t>
  </si>
  <si>
    <t>建立 AssistanceProfile 字段模型、普通/亲子/低体力/行动辅助 Beta 预设与 DRAFT 状态。</t>
  </si>
  <si>
    <t>林粲涵</t>
  </si>
  <si>
    <t>可协作：陈梓元/王敬博；PR 由非作者按关怀字段风险临时指定。</t>
  </si>
  <si>
    <t>Given 4 类预设；When 新建单人档案；Then childAge、walkLimits、maxTransfers、restInterval、napWindow、avoidStairs 可序列化，participants 长度为 1，状态为 DRAFT。</t>
  </si>
  <si>
    <t>PR；4 类 Profile JSON；Schema 测试；状态快照。</t>
  </si>
  <si>
    <t>S1-T004</t>
  </si>
  <si>
    <t>完成约束确认页与状态守卫：可编辑、回退 DRAFT、全量确认后进入 CONSTRAINT_CONFIRMED。</t>
  </si>
  <si>
    <t>王敬博</t>
  </si>
  <si>
    <t>可协作：林粲涵/陈梓元；PR 由非作者按状态与可访问性风险临时指定。</t>
  </si>
  <si>
    <t>Given 一份 Profile；When 修改任一字段；Then 状态回到 DRAFT；When 必填项全部确认；Then 仅一次进入 CONSTRAINT_CONFIRMED；375px 与桌面端无横向滚动。</t>
  </si>
  <si>
    <t>PR；组件测试；状态转换日志；375px/桌面截图。</t>
  </si>
  <si>
    <t>S1-T005</t>
  </si>
  <si>
    <t>PBI-02-A</t>
  </si>
  <si>
    <t>AC-02-A</t>
  </si>
  <si>
    <t>城市地点、路线与可信来源</t>
  </si>
  <si>
    <t>实现按 CityContext 调用地点、路线、价格 Provider 的适配层与两城联调。</t>
  </si>
  <si>
    <t>可协作：陈梓元/林粲涵；PR 由非作者按外部接口风险临时指定。</t>
  </si>
  <si>
    <t>Given 北京与上海 CityContext；When 查询 POI/路线；Then 请求均带对应 cityCode，结果只含同城候选，并返回来源、fetchedAt 与事实状态。</t>
  </si>
  <si>
    <t>PR；两城请求/响应脱敏日志；Provider Stub 集成测试。</t>
  </si>
  <si>
    <t>S1-T006</t>
  </si>
  <si>
    <t>实现 cityCode 隔离缓存、来源归一化与 unknown 价格不按 0 元计入预算。</t>
  </si>
  <si>
    <t>Day2</t>
  </si>
  <si>
    <t>可协作：张琪/林粲涵；PR 由非作者按缓存串城与预算风险临时指定。</t>
  </si>
  <si>
    <t>Given 两城同名 POI 与在线失败；When 读写缓存并计算预算；Then 缓存键含 cityCode、不得串城；unknown 保持未知并触发预警，不参与已知金额求和。</t>
  </si>
  <si>
    <t>PR；缓存键快照；跨城隔离测试；unknown 预算测试。</t>
  </si>
  <si>
    <t>S1-T007</t>
  </si>
  <si>
    <t>PBI-03-A</t>
  </si>
  <si>
    <t>AC-03-A</t>
  </si>
  <si>
    <t>关怀约束编译</t>
  </si>
  <si>
    <t>实现 AssistanceProfile→Constraint 的确定性关怀约束编译器。</t>
  </si>
  <si>
    <t>可协作：林粲涵/张琪；PR 由非作者按规则正确性风险临时指定。</t>
  </si>
  <si>
    <t>Given 4 类 Profile；When 编译两次；Then 步行、换乘、休息、午休、返程、避阶梯 Constraint 含 scope/hardness 且结果一致；非法字段停止规划。</t>
  </si>
  <si>
    <t>PR；编译快照；确定性回归；非法字段失败日志。</t>
  </si>
  <si>
    <t>S1-T008</t>
  </si>
  <si>
    <t>把关怀编译器注册为 Agent 工具，并增加 LLM 不得改写确定性约束的契约测试。</t>
  </si>
  <si>
    <t>可协作：陈梓元/王敬博；PR 由非作者按 Agent 工具边界风险临时指定。</t>
  </si>
  <si>
    <t>Given 已确认 Profile；When Agent 调用工具；Then 只接受编译器结构化结果；模型修改 scope/hardness 或漏字段时契约校验失败且不进入规划。</t>
  </si>
  <si>
    <t>PR；Agent 工具 Trace；契约测试报告；篡改失败用例。</t>
  </si>
  <si>
    <t>S1-T009</t>
  </si>
  <si>
    <t>PBI-03-B</t>
  </si>
  <si>
    <t>AC-03-B</t>
  </si>
  <si>
    <t>路线风险与设施证据</t>
  </si>
  <si>
    <t>基于路线 Fixture 实现阶梯、步行、换乘、休息间隔的风险判定与命中规则定位。</t>
  </si>
  <si>
    <t>可协作：张琪/陈梓元；PR 由非作者按关怀安全风险临时指定。</t>
  </si>
  <si>
    <t>Given 含阶梯、超步行、超换乘、缺休息的路线 Fixture；When 风险校验；Then 分别输出 FAIL 与命中的 routeSegment/ruleId；普通档案不误报行动辅助限制。</t>
  </si>
  <si>
    <t>PR；4 类路线 Fixture；规则命中矩阵；单元测试日志。</t>
  </si>
  <si>
    <t>S1-T010</t>
  </si>
  <si>
    <t>接入真实路线快照并在计划工作台展示设施证据与 NEEDS_CONFIRMATION。</t>
  </si>
  <si>
    <t>S1-T006,S1-T009</t>
  </si>
  <si>
    <t>可协作：林粲涵/王敬博；PR 由非作者按证据误导风险临时指定。</t>
  </si>
  <si>
    <t>Given 电梯/坡道/母婴室/无障碍入口缺少来源；When 展示路线校验；Then 明确标记 NEEDS_CONFIRMATION 与缺失项，不显示 PASS 或全国无障碍保证。</t>
  </si>
  <si>
    <t>PR；接口快照；缺证 UI 截图；文案断言测试。</t>
  </si>
  <si>
    <t>S1-T011</t>
  </si>
  <si>
    <t>PBI-04-A</t>
  </si>
  <si>
    <t>AC-04-A</t>
  </si>
  <si>
    <t>唯一推荐方案与确定性校验</t>
  </si>
  <si>
    <t>实现只输出一个 3—4 任务候选的规划器与预算/时间/路线/关怀确定性校验。</t>
  </si>
  <si>
    <t>S1-T006,S1-T007,S1-T009</t>
  </si>
  <si>
    <t>可协作：陈梓元/张琪；PR 由非作者按规划硬约束风险临时指定。</t>
  </si>
  <si>
    <t>Given 同城事实与已确认约束；When 生成推荐；Then 仅一个含 3—4 任务的方案；全部硬约束 PASS 才返回，金额按整数分，unknown 独立预警。</t>
  </si>
  <si>
    <t>PR；黄金案例计划 JSON；硬约束校验表；金额复算测试。</t>
  </si>
  <si>
    <t>S1-T012</t>
  </si>
  <si>
    <t>完成唯一推荐方案工作台，展示顺序、时间、停留、交通、费用、风险与确认入口。</t>
  </si>
  <si>
    <t>可协作：林粲涵/张琪；PR 由非作者按决策界面风险临时指定。</t>
  </si>
  <si>
    <t>Given 一个已校验方案；When 打开工作台；Then 只出现一个主方案且 3—4 任务关键字段完整，unknown/NEEDS_CONFIRMATION 可见，不出现均衡/省钱双方案。</t>
  </si>
  <si>
    <t>PR；桌面/375px 截图；组件测试；双方案缺席断言。</t>
  </si>
  <si>
    <t>S1-T013</t>
  </si>
  <si>
    <t>PBI-04-B</t>
  </si>
  <si>
    <t>AC-04-B</t>
  </si>
  <si>
    <t>Plan V1 确认与状态守卫</t>
  </si>
  <si>
    <t>建立不可变 PlanVersion 持久化、约束/来源快照与同 Trip 唯一 CURRENT 约束。</t>
  </si>
  <si>
    <t>可协作：陈梓元/林粲涵；PR 由非作者按数据一致性风险临时指定。</t>
  </si>
  <si>
    <t>Given PROPOSED 计划；When 确认；Then 生成不可变 V1 与来源快照并成为唯一 CURRENT；再次写入同一版本被拒绝，刷新可恢复 cityCode、days[0]、任务与金额。</t>
  </si>
  <si>
    <t>PR；迁移/模型快照；唯一性测试；刷新恢复日志。</t>
  </si>
  <si>
    <t>S1-T014</t>
  </si>
  <si>
    <t>实现 PlanVersion 状态守卫和恢复接口，拒绝 PROPOSED 执行及非法状态跳转。</t>
  </si>
  <si>
    <t>可协作：张琪/王敬博；PR 由非作者按状态机风险临时指定。</t>
  </si>
  <si>
    <t>Given PROPOSED/CURRENT/SUPERSEDED/REJECTED 状态；When 发起执行或切换；Then 仅合法边生效，PROPOSED 不可执行，非法跳转返回明确错误且 CURRENT 不变。</t>
  </si>
  <si>
    <t>PR；状态机矩阵；接口回归；非法跳转响应。</t>
  </si>
  <si>
    <t>S1-T015</t>
  </si>
  <si>
    <t>PBI-05-A</t>
  </si>
  <si>
    <t>AC-05-A</t>
  </si>
  <si>
    <t>执行事件与实际消费</t>
  </si>
  <si>
    <t>实现手机执行页与 START/COMPLETE/SKIP ExecutionEvent 接口，事件绑定 taskId 并幂等。</t>
  </si>
  <si>
    <t>可协作：张琪/陈梓元；PR 由非作者按事件幂等风险临时指定。</t>
  </si>
  <si>
    <t>Given CURRENT V1；When 开始/完成/跳过任务并重复提交；Then 每个操作只生成一个绑定 taskId 的事件，当前任务与已完成状态刷新后可恢复。</t>
  </si>
  <si>
    <t>PR；手机页截图；事件接口日志；重复提交测试。</t>
  </si>
  <si>
    <t>S1-T016</t>
  </si>
  <si>
    <t>接入实际消费录入，金额按整数分保存并从事件流复算剩余预算。</t>
  </si>
  <si>
    <t>可协作：王敬博/陈梓元；PR 由非作者按金额与幂等风险临时指定。</t>
  </si>
  <si>
    <t>Given 计划预算与多笔实际消费；When 录入含多花 50 元的事件；Then 金额均为整数分，剩余预算由事件流复算；重复 idempotencyKey 不重复扣减。</t>
  </si>
  <si>
    <t>PR；整数分测试；预算复算表；幂等接口日志。</t>
  </si>
  <si>
    <t>S1-T017</t>
  </si>
  <si>
    <t>PBI-05-B</t>
  </si>
  <si>
    <t>AC-05-B</t>
  </si>
  <si>
    <t>最小扰动 Plan V2</t>
  </si>
  <si>
    <t>由执行事件推导剩余约束，编排只重算未完成后缀的 Plan V2。</t>
  </si>
  <si>
    <t>S1-T014,S1-T016</t>
  </si>
  <si>
    <t>可协作：林粲涵/张琪；PR 由非作者按重规划一致性风险临时指定。</t>
  </si>
  <si>
    <t>Given 已完成/锁定任务与多花 50 元事件；When 请求重规划；Then 已完成/锁定任务保留率 100%，只生成未完成后缀候选；无可行解时不保存 V2。</t>
  </si>
  <si>
    <t>PR；重规划 Trace；保留率断言；无解回归。</t>
  </si>
  <si>
    <t>S1-T018</t>
  </si>
  <si>
    <t>实现最小扰动目标和 V2 的预算、时间、路线、关怀再校验及可放宽项说明。</t>
  </si>
  <si>
    <t>S1-T011,S1-T017</t>
  </si>
  <si>
    <t>可协作：陈梓元/张琪；PR 由非作者按最小扰动与关怀风险临时指定。</t>
  </si>
  <si>
    <t>Given 两个可行后缀；When 比较候选；Then 先最少修改任务数，再比较满意度损失；选中 V2 全部硬约束 PASS；无解返回受影响 ruleId 与可放宽项。</t>
  </si>
  <si>
    <t>PR；候选比较表；V2 校验报告；无解说明快照。</t>
  </si>
  <si>
    <t>S1-T019</t>
  </si>
  <si>
    <t>PBI-05-C</t>
  </si>
  <si>
    <t>AC-05-C</t>
  </si>
  <si>
    <t>V1/V2 Diff 与接受拒绝</t>
  </si>
  <si>
    <t>实现 V1/V2 Diff 数据契约与接受/拒绝后的原子版本切换。</t>
  </si>
  <si>
    <t>S1-T013,S1-T018</t>
  </si>
  <si>
    <t>可协作：陈梓元/王敬博；PR 由非作者按原子切换风险临时指定。</t>
  </si>
  <si>
    <t>Given 候选 V2；When 生成 Diff 并接受/拒绝；Then 地点、时间、路线、费用、关怀变化分为保留/删除/新增；接受原子切换 CURRENT，拒绝后 V1 与执行状态不变。</t>
  </si>
  <si>
    <t>PR；Diff JSON；接受/拒绝事务测试；状态快照。</t>
  </si>
  <si>
    <t>S1-T020</t>
  </si>
  <si>
    <t>完成 V1/V2 Diff 页面及接受/拒绝交互，未明确确认前不得覆盖 V1。</t>
  </si>
  <si>
    <t>可协作：张琪/林粲涵；PR 由非作者按变更确认风险临时指定。</t>
  </si>
  <si>
    <t>Given 一份 V2 Diff；When 查看、接受或拒绝；Then 变化类型与费用/关怀指标清晰，确认前 CURRENT 始终是 V1；375px 下主操作可见且无横向滚动。</t>
  </si>
  <si>
    <t>PR；Diff 截图；接受/拒绝 E2E；375px 录屏片段。</t>
  </si>
  <si>
    <t>S1-T021</t>
  </si>
  <si>
    <t>PBI-06-A</t>
  </si>
  <si>
    <t>AC-06-A</t>
  </si>
  <si>
    <t>单人基础总结</t>
  </si>
  <si>
    <t>实现单人基础总结聚合与页面：计划/实际费用、差额、完成/跳过、版本变化。</t>
  </si>
  <si>
    <t>S1-T015,S1-T019</t>
  </si>
  <si>
    <t>可协作：张琪/林粲涵；PR 由非作者按总结可追溯风险临时指定。</t>
  </si>
  <si>
    <t>Given COMPLETED 行程；When 打开总结；Then 计划/实际费用及差额可复算，完成/跳过任务与版本变化可追溯到事件；无 V2 显示仅执行 V1；不出现照片时间线。</t>
  </si>
  <si>
    <t>PR；基础总结截图；聚合测试；仅 V1 场景回归。</t>
  </si>
  <si>
    <t>S1-T022</t>
  </si>
  <si>
    <t>编写从事件流到基础总结的追溯回归，并固化无 V2/接受 V2/拒绝 V2 三种路径。</t>
  </si>
  <si>
    <t>可协作：王敬博/张琪；PR 由非作者按覆盖缺口与可用性临时指定。</t>
  </si>
  <si>
    <t>Given 三条固定路径；When 运行自动化；Then 每条总结数字可追到 taskId/eventId/planVersionId，接受与拒绝结果正确，3/3 用例通过且不依赖照片。</t>
  </si>
  <si>
    <t>PR；3 路径自动化报告；追溯映射；失败截图留档规则。</t>
  </si>
  <si>
    <t>S1-T023</t>
  </si>
  <si>
    <t>PBI-13-S1</t>
  </si>
  <si>
    <t>AC-13-S1</t>
  </si>
  <si>
    <t>公网响应式与视觉系统（S1）</t>
  </si>
  <si>
    <t>建立统一设计令牌、响应式应用骨架和公网 HTTPS 部署流水线。</t>
  </si>
  <si>
    <t>可协作：全员；PR 由非作者按部署/响应式风险与可用性临时指定。</t>
  </si>
  <si>
    <t>Given 公网环境；When 打开首页及空流程骨架；Then HTTPS 可访问，桌面与 375px 无横向滚动，颜色/字体/间距/状态组件使用同一设计令牌。</t>
  </si>
  <si>
    <t>PR；公网 URL；桌面/375px 截图；部署日志。</t>
  </si>
  <si>
    <t>S1-T024</t>
  </si>
  <si>
    <t>集成关怀单人完整 Agent 主链、部署观测与 90 秒 Review 黄金案例。</t>
  </si>
  <si>
    <t>S1-T002,T004,T008,T010,T012,T016,T020,T022,T023</t>
  </si>
  <si>
    <t>可协作：全员；PR 由非作者按端到端风险与当次可用性临时指定。</t>
  </si>
  <si>
    <t>Given 公网 HTTPS 与固定祖孙/亲子北京案例；When 桌面/375px 演示；Then 90 秒内完成 AssistanceProfile→V1→多花 50 元→V2→接受或拒绝→总结，Trace 可定位每一步。</t>
  </si>
  <si>
    <t>PR；公网链路 Trace；90 秒演示计时记录；桌面/手机 E2E 结果。</t>
  </si>
  <si>
    <t>Sprint 1 · 容量、燃尽与 Review 门禁</t>
  </si>
  <si>
    <t>Sprint Goal：第一次 Review 就能展示关怀单人完整 Agent</t>
  </si>
  <si>
    <t>实际剩余工时列初始化为计划基线，Sprint 执行后由每日站会更新黄色输入格；所有汇总、偏差、完成率与图表均由公式回算。</t>
  </si>
  <si>
    <t>燃尽口径</t>
  </si>
  <si>
    <t>计划基线</t>
  </si>
  <si>
    <t>切换为“执行中”后，每日更新 SprintBacklog模板 的 Day1/Day2/Day3 实际剩余工时；Day3 仅关键缺陷修复可占用临时缓冲，不新增常规开发承诺。</t>
  </si>
  <si>
    <t>关键指标</t>
  </si>
  <si>
    <t>公式值</t>
  </si>
  <si>
    <t>校验/说明</t>
  </si>
  <si>
    <t>计划总工时</t>
  </si>
  <si>
    <t>必须 = 48 人时</t>
  </si>
  <si>
    <t>Task 数</t>
  </si>
  <si>
    <t>24 个可执行开发 Task</t>
  </si>
  <si>
    <t>Sprint1 PBI 数</t>
  </si>
  <si>
    <t>必须 = 12 条</t>
  </si>
  <si>
    <t>Day3 常规开发容量</t>
  </si>
  <si>
    <t>Review/验收/演示/彩排与关键缺陷处理，不预占常规容量</t>
  </si>
  <si>
    <t>成员</t>
  </si>
  <si>
    <t>计划容量</t>
  </si>
  <si>
    <t>分配工时</t>
  </si>
  <si>
    <t>偏差</t>
  </si>
  <si>
    <t>Day1 工时</t>
  </si>
  <si>
    <t>Day2 工时</t>
  </si>
  <si>
    <t>容量状态</t>
  </si>
  <si>
    <t>兼任职责</t>
  </si>
  <si>
    <t>主责方向（非技术壁垒）</t>
  </si>
  <si>
    <t>PO（兼任）</t>
  </si>
  <si>
    <t>Agent 后端主链；允许跨前后端协作</t>
  </si>
  <si>
    <t>SM（兼任）</t>
  </si>
  <si>
    <t>公网响应式、执行与总结；同样承担开发</t>
  </si>
  <si>
    <t>QA（兼任）</t>
  </si>
  <si>
    <t>城市 Provider、版本/Diff；同样承担开发</t>
  </si>
  <si>
    <t>关怀编译、路线风险、校验；同样承担开发</t>
  </si>
  <si>
    <t>合计</t>
  </si>
  <si>
    <t>四人均为开发者</t>
  </si>
  <si>
    <t>主责表示首要推进责任，不限制协作</t>
  </si>
  <si>
    <t>节点</t>
  </si>
  <si>
    <t>计划剩余</t>
  </si>
  <si>
    <t>实际剩余</t>
  </si>
  <si>
    <t>计划完成率</t>
  </si>
  <si>
    <t>实际完成率</t>
  </si>
  <si>
    <t>燃尽状态</t>
  </si>
  <si>
    <t>Sprint 开始</t>
  </si>
  <si>
    <t>Day3</t>
  </si>
  <si>
    <t>Day3 活动</t>
  </si>
  <si>
    <t>参与/主责</t>
  </si>
  <si>
    <t>容量口径</t>
  </si>
  <si>
    <t>验收证据</t>
  </si>
  <si>
    <t>Sprint Review 与 Goal 门禁</t>
  </si>
  <si>
    <t>全员</t>
  </si>
  <si>
    <t>不预占常规开发容量</t>
  </si>
  <si>
    <t>公网 90 秒黄金链演示记录</t>
  </si>
  <si>
    <t>PO 验收</t>
  </si>
  <si>
    <t>陈梓元兼任 PO；非作者参与</t>
  </si>
  <si>
    <t>产品验收，不形成固定技术岗位</t>
  </si>
  <si>
    <t>12 条 PBI/AC 验收勾选</t>
  </si>
  <si>
    <t>QA 验收</t>
  </si>
  <si>
    <t>张琪/林粲涵兼任 QA；全员可补位</t>
  </si>
  <si>
    <t>验收职责为兼任</t>
  </si>
  <si>
    <t>关键路径自动化与缺陷清单</t>
  </si>
  <si>
    <t>演示与彩排</t>
  </si>
  <si>
    <t>王敬博协调；全员执行</t>
  </si>
  <si>
    <t>不新增常规功能</t>
  </si>
  <si>
    <t>桌面/375px 演示脚本与计时</t>
  </si>
  <si>
    <t>关键缺陷修复</t>
  </si>
  <si>
    <t>按缺陷风险与可用性动态指派</t>
  </si>
  <si>
    <t>仅 P0/P1；不预先挤入 48h</t>
  </si>
  <si>
    <t>修复 PR、回归日志与 PO 复验</t>
  </si>
  <si>
    <t>协作与评审规则：四人均承担开发任务；主责字段只表示首要推进责任。可协作人按当前任务列示但不构成固定搭档。每个 PR 在实际提交时从非作者成员中，依据 Schema/金额/状态机/关怀安全/交互/部署等风险和当次可用性临时指定评审人。</t>
  </si>
  <si>
    <t>Sprint 1 · PBI / AC / Task / 交付证据追溯</t>
  </si>
  <si>
    <t>Sprint1 精确筛选自产品Backlog H 列 = Sprint1，共 12 条、47 SP；SP 仅作相对估算，不与 48 人时换算。</t>
  </si>
  <si>
    <t>Sprint1 条目</t>
  </si>
  <si>
    <t>产品负责人</t>
  </si>
  <si>
    <t>PBI SP</t>
  </si>
  <si>
    <t>产品 AC（Given/When/Then）</t>
  </si>
  <si>
    <t>Task 工时</t>
  </si>
  <si>
    <t>覆盖状态</t>
  </si>
  <si>
    <t>产品待办来源</t>
  </si>
  <si>
    <t>Given 新建单人行程；When 选择目标城市并输入自然语言需求；Then 生成 CityContext、participants[0]、days[0]、预算与时间窗；缺失或歧义字段逐项确认；输出通过 Pydantic/JSON Schema，页面、缓存键与接口不得写死北京。</t>
  </si>
  <si>
    <t>产品Backlog!第 7 行</t>
  </si>
  <si>
    <t>Given 已录入普通/亲子/低体力/行动辅助 Beta 需求；When 打开确认页；Then childAge、walkLimits、maxTransfers、restInterval、napWindow、avoidStairs 等可查看和修改；修改后回到 DRAFT，全部必填约束确认后才进入 CONSTRAINT_CONFIRMED。</t>
  </si>
  <si>
    <t>产品Backlog!第 8 行</t>
  </si>
  <si>
    <t>Given 已确认 CityContext；When 查询候选地点和路线；Then cityCode 进入 Provider 请求与缓存键且不得跨城；地点、路线、价格带来源、fetchedAt 与事实状态；unknown 不得按 0 元参与预算，在线失败只读对应城市缓存。</t>
  </si>
  <si>
    <t>产品Backlog!第 9 行</t>
  </si>
  <si>
    <t>Given 已确认 AssistanceProfile；When 编译关怀约束；Then 输出带 scope 与 hardness 的步行、换乘、休息、午休、返程、避阶梯 Constraint；同输入可复现，无需求不增限，失败返回具体字段并阻止规划。</t>
  </si>
  <si>
    <t>产品Backlog!第 10 行</t>
  </si>
  <si>
    <t>Given 路线快照和关怀约束；When 校验路线风险；Then 已知阶梯在行动辅助 Beta 下为 FAIL，超步行/换乘/休息规则时指出路段；设施缺证统一标记 NEEDS_CONFIRMATION，不宣称已通过或保证全国无障碍。</t>
  </si>
  <si>
    <t>产品Backlog!第 11 行</t>
  </si>
  <si>
    <t>Given 同城地点、路线与已确认约束；When 生成推荐；Then P0 仅输出一个含 3—4 个任务的方案，任务含顺序、时间、停留、交通与费用；所有硬约束 PASS 才推荐，金额按整数分复算，unknown 单独预警。</t>
  </si>
  <si>
    <t>产品Backlog!第 12 行</t>
  </si>
  <si>
    <t>Given 推荐已通过校验；When 用户确认；Then 保存不可变 Plan V1 与约束/来源快照，并成为同一 Trip 唯一 CURRENT；未确认方案为 PROPOSED 且不可执行；刷新可恢复，非法状态转换被拒绝。</t>
  </si>
  <si>
    <t>产品Backlog!第 13 行</t>
  </si>
  <si>
    <t>Given 当前版本为 Plan V1；When 开始、完成或跳过任务并记录实际消费；Then 每次操作生成绑定 taskId 的 ExecutionEvent，金额按整数分保存且剩余预算可复算；重复提交不重复，刷新可恢复。</t>
  </si>
  <si>
    <t>产品Backlog!第 14 行</t>
  </si>
  <si>
    <t>Given 已执行至少一个任务且实际消费改变剩余约束；When 请求重规划；Then 已完成与锁定任务保留率 100%，只调整未完成后缀并重新通过预算、时间、路线与关怀校验；无可行解时说明可放宽项且不生成半更新 V2。</t>
  </si>
  <si>
    <t>产品Backlog!第 15 行</t>
  </si>
  <si>
    <t>Given 已生成候选 Plan V2；When 查看 Diff；Then 地点、时间、路线、费用与关怀指标的保留/删除/新增可见；接受后旧 CURRENT→SUPERSEDED、V2→CURRENT；拒绝后 V2→REJECTED 且 V1 与执行状态不变。</t>
  </si>
  <si>
    <t>产品Backlog!第 16 行</t>
  </si>
  <si>
    <t>Given 行程进入 COMPLETED；When 打开基础总结；Then 展示计划费用、实际费用、差额、完成/跳过任务、当前及历史版本变化并追溯到事件；无 V2 时明确仅执行 V1；Sprint1 不要求照片时间线。</t>
  </si>
  <si>
    <t>产品Backlog!第 17 行</t>
  </si>
  <si>
    <t>Given 公网 HTTPS 地址与固定祖孙/亲子北京案例；When 在桌面与 375px 手机端演示；Then 全链风格一致且无横向滚动，并在 90 秒内跑通 AssistanceProfile→Plan V1→实际多花 50 元→Plan V2→接受或拒绝→总结。</t>
  </si>
  <si>
    <t>产品Backlog!第 18 行</t>
  </si>
  <si>
    <t>12 条 Sprint1 PBI</t>
  </si>
  <si>
    <t>明确保留到后续 Sprint / 候选池的内容（不得偷放入 Sprint1）</t>
  </si>
  <si>
    <t>保留位置</t>
  </si>
  <si>
    <t>内容</t>
  </si>
  <si>
    <t>排除原因</t>
  </si>
  <si>
    <t>Sprint2</t>
  </si>
  <si>
    <t>PBI-07-A</t>
  </si>
  <si>
    <t>2—3 人成员卡与硬冲突</t>
  </si>
  <si>
    <t>多人能力保留到 Sprint2。</t>
  </si>
  <si>
    <t>PBI-08-A</t>
  </si>
  <si>
    <t>公平评分与唯一多人推荐</t>
  </si>
  <si>
    <t>多人公平算法保留到 Sprint2。</t>
  </si>
  <si>
    <t>PBI-09-A</t>
  </si>
  <si>
    <t>一次性 GPS 到达辅助确认</t>
  </si>
  <si>
    <t>GPS 到达辅助不得进入 Sprint1。</t>
  </si>
  <si>
    <t>PBI-10-A</t>
  </si>
  <si>
    <t>任务照片与媒体管理</t>
  </si>
  <si>
    <t>任务照片不得进入 Sprint1。</t>
  </si>
  <si>
    <t>PBI-11-A</t>
  </si>
  <si>
    <t>多人复用执行与版本服务</t>
  </si>
  <si>
    <t>1/2/3 人统一执行在 Sprint2 接通。</t>
  </si>
  <si>
    <t>PBI-11-B</t>
  </si>
  <si>
    <t>迟到与疲劳事件驱动重规划</t>
  </si>
  <si>
    <t>迟到/疲劳事件不得进入 Sprint1。</t>
  </si>
  <si>
    <t>PBI-12-A</t>
  </si>
  <si>
    <t>旅行回忆页</t>
  </si>
  <si>
    <t>含照片时间线的完整旅行回忆页不得进入 Sprint1。</t>
  </si>
  <si>
    <t>PBI-13-S2</t>
  </si>
  <si>
    <t>公网响应式与视觉系统（S2）</t>
  </si>
  <si>
    <t>到达/照片/状态反馈/回忆组件在 Sprint2。</t>
  </si>
  <si>
    <t>Sprint3</t>
  </si>
  <si>
    <t>PBI-13-S3</t>
  </si>
  <si>
    <t>最终响应式、可访问性与视觉 QA</t>
  </si>
  <si>
    <t>最终交付质量工作不计入 Sprint1。</t>
  </si>
  <si>
    <t>PBI-14-A</t>
  </si>
  <si>
    <t>故障、权限与未知事实降级</t>
  </si>
  <si>
    <t>完整降级矩阵保留到 Sprint3。</t>
  </si>
  <si>
    <t>PBI-15-A</t>
  </si>
  <si>
    <t>自动化测试与质量门禁</t>
  </si>
  <si>
    <t>全量门禁与覆盖率指标保留到 Sprint3。</t>
  </si>
  <si>
    <t>PBI-15-B</t>
  </si>
  <si>
    <t>部署、交付与答辩证据</t>
  </si>
  <si>
    <t>正式 RC 与答辩归档保留到 Sprint3。</t>
  </si>
  <si>
    <t>PBI-16-A</t>
  </si>
  <si>
    <t>三城完整端到端验证</t>
  </si>
  <si>
    <t>三城完整链是 Sprint3 验收。</t>
  </si>
  <si>
    <t>PBI-16-B</t>
  </si>
  <si>
    <t>两城在线烟测</t>
  </si>
  <si>
    <t>西安/杭州烟测是 Sprint3 验收。</t>
  </si>
  <si>
    <t>PBI-17-A</t>
  </si>
  <si>
    <t>多日 Schema 兼容</t>
  </si>
  <si>
    <t>Sprint3 Should/stretch，不占 Sprint1。</t>
  </si>
  <si>
    <t>P1</t>
  </si>
  <si>
    <t>PBI-18-P1</t>
  </si>
  <si>
    <t>均衡与省钱双方案</t>
  </si>
  <si>
    <t>双方案属于 P1；Sprint1 只交付唯一推荐。</t>
  </si>
  <si>
    <t>PBI-19-P1</t>
  </si>
  <si>
    <t>美团旅行 Skill 可拔插验证</t>
  </si>
  <si>
    <t>美团 Skill 属于 P1，不占 Sprint1。</t>
  </si>
  <si>
    <t>Future</t>
  </si>
  <si>
    <t>PBI-20-F1</t>
  </si>
  <si>
    <t>成员通过链接独立加入</t>
  </si>
  <si>
    <t>Future 候选，不进入三个核心 Sprint。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</si>
</sst>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5">
    <font>
      <sz val="12"/>
      <name val="宋体"/>
      <charset val="134"/>
    </font>
    <font>
      <b/>
      <sz val="17"/>
      <color rgb="FFFFFFFF"/>
      <name val="Microsoft YaHei"/>
      <charset val="134"/>
    </font>
    <font>
      <b/>
      <sz val="11"/>
      <color rgb="FF111827"/>
      <name val="Microsoft YaHei"/>
      <charset val="134"/>
    </font>
    <font>
      <sz val="9"/>
      <color rgb="FF1F2937"/>
      <name val="Microsoft YaHei"/>
      <charset val="134"/>
    </font>
    <font>
      <b/>
      <sz val="10"/>
      <color rgb="FF111827"/>
      <name val="Microsoft YaHei"/>
      <charset val="134"/>
    </font>
    <font>
      <b/>
      <sz val="10"/>
      <color rgb="FF1F4E78"/>
      <name val="Microsoft YaHei"/>
      <charset val="134"/>
    </font>
    <font>
      <b/>
      <sz val="9"/>
      <color rgb="FF1F2937"/>
      <name val="Microsoft YaHei"/>
      <charset val="134"/>
    </font>
    <font>
      <b/>
      <sz val="12"/>
      <color rgb="FF1F4E78"/>
      <name val="Microsoft YaHei"/>
      <charset val="134"/>
    </font>
    <font>
      <b/>
      <sz val="9"/>
      <color rgb="FF1F4E78"/>
      <name val="Microsoft YaHei"/>
      <charset val="134"/>
    </font>
    <font>
      <b/>
      <sz val="11"/>
      <color rgb="FF1F2937"/>
      <name val="Microsoft YaHei"/>
      <charset val="134"/>
    </font>
    <font>
      <b/>
      <sz val="18"/>
      <color rgb="FFFFFFFF"/>
      <name val="Microsoft YaHei"/>
      <charset val="134"/>
    </font>
    <font>
      <sz val="10"/>
      <color rgb="FF1F2937"/>
      <name val="Microsoft YaHei"/>
      <charset val="134"/>
    </font>
    <font>
      <i/>
      <sz val="9"/>
      <color rgb="FF667085"/>
      <name val="Microsoft YaHei"/>
      <charset val="134"/>
    </font>
    <font>
      <sz val="9"/>
      <color rgb="FF667085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EEF4FA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D9F7F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rgb="FFAAB4C0"/>
      </left>
      <right style="thin">
        <color rgb="FFAAB4C0"/>
      </right>
      <top style="thin">
        <color rgb="FFAAB4C0"/>
      </top>
      <bottom style="thin">
        <color rgb="FFAAB4C0"/>
      </bottom>
      <diagonal/>
    </border>
    <border>
      <left style="medium">
        <color rgb="FF1F4E78"/>
      </left>
      <right style="medium">
        <color rgb="FF1F4E78"/>
      </right>
      <top style="medium">
        <color rgb="FF1F4E78"/>
      </top>
      <bottom style="medium">
        <color rgb="FF1F4E78"/>
      </bottom>
      <diagonal/>
    </border>
    <border>
      <left style="thin">
        <color rgb="FFAAB4C0"/>
      </left>
      <right/>
      <top style="thin">
        <color rgb="FFAAB4C0"/>
      </top>
      <bottom/>
      <diagonal/>
    </border>
    <border>
      <left/>
      <right/>
      <top style="thin">
        <color rgb="FFAAB4C0"/>
      </top>
      <bottom/>
      <diagonal/>
    </border>
    <border>
      <left/>
      <right style="thin">
        <color rgb="FFAAB4C0"/>
      </right>
      <top style="thin">
        <color rgb="FFAAB4C0"/>
      </top>
      <bottom/>
      <diagonal/>
    </border>
    <border>
      <left style="thin">
        <color rgb="FFAAB4C0"/>
      </left>
      <right/>
      <top/>
      <bottom style="thin">
        <color rgb="FFAAB4C0"/>
      </bottom>
      <diagonal/>
    </border>
    <border>
      <left/>
      <right/>
      <top/>
      <bottom style="thin">
        <color rgb="FFAAB4C0"/>
      </bottom>
      <diagonal/>
    </border>
    <border>
      <left/>
      <right style="thin">
        <color rgb="FFAAB4C0"/>
      </right>
      <top/>
      <bottom style="thin">
        <color rgb="FFAAB4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AAB4C0"/>
      </left>
      <right/>
      <top/>
      <bottom/>
      <diagonal/>
    </border>
    <border>
      <left/>
      <right style="thin">
        <color rgb="FFAAB4C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4" fillId="0" borderId="0" applyFont="0" applyFill="0" applyBorder="0" applyAlignment="0" applyProtection="0">
      <alignment vertical="center"/>
    </xf>
    <xf numFmtId="44" fontId="14" fillId="0" borderId="0" applyFont="0" applyFill="0" applyBorder="0" applyAlignment="0" applyProtection="0">
      <alignment vertical="center"/>
    </xf>
    <xf numFmtId="9" fontId="14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2" fontId="14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11" borderId="14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2" borderId="17" applyNumberFormat="0" applyAlignment="0" applyProtection="0">
      <alignment vertical="center"/>
    </xf>
    <xf numFmtId="0" fontId="24" fillId="13" borderId="18" applyNumberFormat="0" applyAlignment="0" applyProtection="0">
      <alignment vertical="center"/>
    </xf>
    <xf numFmtId="0" fontId="25" fillId="13" borderId="17" applyNumberFormat="0" applyAlignment="0" applyProtection="0">
      <alignment vertical="center"/>
    </xf>
    <xf numFmtId="0" fontId="26" fillId="14" borderId="19" applyNumberFormat="0" applyAlignment="0" applyProtection="0">
      <alignment vertical="center"/>
    </xf>
    <xf numFmtId="0" fontId="27" fillId="0" borderId="20" applyNumberFormat="0" applyFill="0" applyAlignment="0" applyProtection="0">
      <alignment vertical="center"/>
    </xf>
    <xf numFmtId="0" fontId="28" fillId="0" borderId="21" applyNumberFormat="0" applyFill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</cellStyleXfs>
  <cellXfs count="55">
    <xf numFmtId="0" fontId="0" fillId="0" borderId="0" xfId="0"/>
    <xf numFmtId="0" fontId="1" fillId="2" borderId="0" xfId="0" applyNumberFormat="1" applyFont="1" applyFill="1" applyBorder="1" applyAlignment="1">
      <alignment horizontal="left" vertical="center"/>
    </xf>
    <xf numFmtId="0" fontId="2" fillId="3" borderId="0" xfId="0" applyNumberFormat="1" applyFont="1" applyFill="1" applyBorder="1" applyAlignment="1">
      <alignment horizontal="left" vertical="center"/>
    </xf>
    <xf numFmtId="0" fontId="3" fillId="4" borderId="0" xfId="0" applyNumberFormat="1" applyFont="1" applyFill="1" applyBorder="1"/>
    <xf numFmtId="0" fontId="4" fillId="5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vertical="center" wrapText="1"/>
    </xf>
    <xf numFmtId="0" fontId="5" fillId="6" borderId="2" xfId="0" applyNumberFormat="1" applyFont="1" applyFill="1" applyBorder="1" applyAlignment="1">
      <alignment horizontal="center" vertical="center" wrapText="1"/>
    </xf>
    <xf numFmtId="0" fontId="5" fillId="6" borderId="2" xfId="0" applyNumberFormat="1" applyFont="1" applyFill="1" applyBorder="1" applyAlignment="1">
      <alignment vertical="center" wrapText="1"/>
    </xf>
    <xf numFmtId="0" fontId="2" fillId="3" borderId="0" xfId="0" applyNumberFormat="1" applyFont="1" applyFill="1" applyBorder="1"/>
    <xf numFmtId="0" fontId="4" fillId="5" borderId="1" xfId="0" applyNumberFormat="1" applyFont="1" applyFill="1" applyBorder="1" applyAlignment="1">
      <alignment horizontal="center"/>
    </xf>
    <xf numFmtId="0" fontId="6" fillId="7" borderId="1" xfId="0" applyNumberFormat="1" applyFont="1" applyFill="1" applyBorder="1" applyAlignment="1">
      <alignment horizontal="center"/>
    </xf>
    <xf numFmtId="0" fontId="3" fillId="7" borderId="0" xfId="0" applyNumberFormat="1" applyFont="1" applyFill="1" applyBorder="1" applyAlignment="1">
      <alignment wrapText="1"/>
    </xf>
    <xf numFmtId="1" fontId="7" fillId="4" borderId="1" xfId="0" applyNumberFormat="1" applyFont="1" applyFill="1" applyBorder="1" applyAlignment="1">
      <alignment horizontal="center" vertical="center" wrapText="1"/>
    </xf>
    <xf numFmtId="0" fontId="8" fillId="6" borderId="2" xfId="0" applyNumberFormat="1" applyFont="1" applyFill="1" applyBorder="1" applyAlignment="1">
      <alignment horizontal="center" vertical="center" wrapText="1"/>
    </xf>
    <xf numFmtId="0" fontId="8" fillId="6" borderId="2" xfId="0" applyNumberFormat="1" applyFont="1" applyFill="1" applyBorder="1" applyAlignment="1">
      <alignment vertical="center" wrapText="1"/>
    </xf>
    <xf numFmtId="0" fontId="4" fillId="5" borderId="1" xfId="0" applyNumberFormat="1" applyFont="1" applyFill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/>
    </xf>
    <xf numFmtId="9" fontId="3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0" fontId="4" fillId="3" borderId="1" xfId="0" applyNumberFormat="1" applyFont="1" applyFill="1" applyBorder="1" applyAlignment="1">
      <alignment horizontal="center" vertical="center" wrapText="1"/>
    </xf>
    <xf numFmtId="0" fontId="3" fillId="8" borderId="3" xfId="0" applyNumberFormat="1" applyFont="1" applyFill="1" applyBorder="1" applyAlignment="1">
      <alignment vertical="center" wrapText="1"/>
    </xf>
    <xf numFmtId="0" fontId="3" fillId="8" borderId="4" xfId="0" applyNumberFormat="1" applyFont="1" applyFill="1" applyBorder="1" applyAlignment="1">
      <alignment vertical="center" wrapText="1"/>
    </xf>
    <xf numFmtId="0" fontId="3" fillId="8" borderId="5" xfId="0" applyNumberFormat="1" applyFont="1" applyFill="1" applyBorder="1" applyAlignment="1">
      <alignment vertical="center" wrapText="1"/>
    </xf>
    <xf numFmtId="0" fontId="3" fillId="8" borderId="6" xfId="0" applyNumberFormat="1" applyFont="1" applyFill="1" applyBorder="1" applyAlignment="1">
      <alignment vertical="center" wrapText="1"/>
    </xf>
    <xf numFmtId="0" fontId="3" fillId="8" borderId="7" xfId="0" applyNumberFormat="1" applyFont="1" applyFill="1" applyBorder="1" applyAlignment="1">
      <alignment vertical="center" wrapText="1"/>
    </xf>
    <xf numFmtId="0" fontId="3" fillId="8" borderId="8" xfId="0" applyNumberFormat="1" applyFont="1" applyFill="1" applyBorder="1" applyAlignment="1">
      <alignment vertical="center" wrapText="1"/>
    </xf>
    <xf numFmtId="0" fontId="0" fillId="0" borderId="9" xfId="0" applyBorder="1"/>
    <xf numFmtId="0" fontId="0" fillId="0" borderId="10" xfId="0" applyBorder="1"/>
    <xf numFmtId="0" fontId="4" fillId="3" borderId="11" xfId="0" applyNumberFormat="1" applyFont="1" applyFill="1" applyBorder="1" applyAlignment="1">
      <alignment horizontal="center" vertical="center" wrapText="1"/>
    </xf>
    <xf numFmtId="0" fontId="9" fillId="0" borderId="11" xfId="0" applyNumberFormat="1" applyFont="1" applyFill="1" applyBorder="1" applyAlignment="1">
      <alignment horizontal="center" vertical="center"/>
    </xf>
    <xf numFmtId="0" fontId="6" fillId="4" borderId="11" xfId="0" applyNumberFormat="1" applyFont="1" applyFill="1" applyBorder="1" applyAlignment="1">
      <alignment horizontal="center" vertical="center" wrapText="1"/>
    </xf>
    <xf numFmtId="0" fontId="6" fillId="7" borderId="11" xfId="0" applyNumberFormat="1" applyFont="1" applyFill="1" applyBorder="1" applyAlignment="1">
      <alignment horizontal="center" vertical="center" wrapText="1"/>
    </xf>
    <xf numFmtId="0" fontId="8" fillId="9" borderId="1" xfId="0" applyNumberFormat="1" applyFont="1" applyFill="1" applyBorder="1" applyAlignment="1">
      <alignment horizontal="center" vertical="center" wrapText="1"/>
    </xf>
    <xf numFmtId="0" fontId="8" fillId="9" borderId="1" xfId="0" applyNumberFormat="1" applyFont="1" applyFill="1" applyBorder="1" applyAlignment="1">
      <alignment vertical="center" wrapText="1"/>
    </xf>
    <xf numFmtId="1" fontId="3" fillId="0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1" fontId="3" fillId="7" borderId="1" xfId="0" applyNumberFormat="1" applyFont="1" applyFill="1" applyBorder="1" applyAlignment="1">
      <alignment horizontal="center" vertical="center" wrapText="1"/>
    </xf>
    <xf numFmtId="0" fontId="3" fillId="4" borderId="1" xfId="0" applyNumberFormat="1" applyFont="1" applyFill="1" applyBorder="1" applyAlignment="1">
      <alignment horizontal="center" vertical="center" wrapText="1"/>
    </xf>
    <xf numFmtId="0" fontId="0" fillId="10" borderId="0" xfId="0" applyFill="1" applyBorder="1"/>
    <xf numFmtId="0" fontId="10" fillId="2" borderId="0" xfId="0" applyNumberFormat="1" applyFont="1" applyFill="1" applyBorder="1" applyAlignment="1">
      <alignment horizontal="left" vertical="center"/>
    </xf>
    <xf numFmtId="0" fontId="5" fillId="6" borderId="1" xfId="0" applyNumberFormat="1" applyFont="1" applyFill="1" applyBorder="1" applyAlignment="1">
      <alignment vertical="center"/>
    </xf>
    <xf numFmtId="0" fontId="11" fillId="0" borderId="1" xfId="0" applyNumberFormat="1" applyFont="1" applyFill="1" applyBorder="1" applyAlignment="1">
      <alignment vertical="center" wrapText="1"/>
    </xf>
    <xf numFmtId="0" fontId="11" fillId="4" borderId="3" xfId="0" applyNumberFormat="1" applyFont="1" applyFill="1" applyBorder="1" applyAlignment="1">
      <alignment vertical="center" wrapText="1"/>
    </xf>
    <xf numFmtId="0" fontId="11" fillId="4" borderId="4" xfId="0" applyNumberFormat="1" applyFont="1" applyFill="1" applyBorder="1" applyAlignment="1">
      <alignment vertical="center" wrapText="1"/>
    </xf>
    <xf numFmtId="0" fontId="11" fillId="4" borderId="5" xfId="0" applyNumberFormat="1" applyFont="1" applyFill="1" applyBorder="1" applyAlignment="1">
      <alignment vertical="center" wrapText="1"/>
    </xf>
    <xf numFmtId="0" fontId="11" fillId="4" borderId="12" xfId="0" applyNumberFormat="1" applyFont="1" applyFill="1" applyBorder="1" applyAlignment="1">
      <alignment vertical="center" wrapText="1"/>
    </xf>
    <xf numFmtId="0" fontId="11" fillId="4" borderId="0" xfId="0" applyNumberFormat="1" applyFont="1" applyFill="1" applyBorder="1" applyAlignment="1">
      <alignment vertical="center" wrapText="1"/>
    </xf>
    <xf numFmtId="0" fontId="11" fillId="4" borderId="13" xfId="0" applyNumberFormat="1" applyFont="1" applyFill="1" applyBorder="1" applyAlignment="1">
      <alignment vertical="center" wrapText="1"/>
    </xf>
    <xf numFmtId="0" fontId="11" fillId="4" borderId="6" xfId="0" applyNumberFormat="1" applyFont="1" applyFill="1" applyBorder="1" applyAlignment="1">
      <alignment vertical="center" wrapText="1"/>
    </xf>
    <xf numFmtId="0" fontId="11" fillId="4" borderId="7" xfId="0" applyNumberFormat="1" applyFont="1" applyFill="1" applyBorder="1" applyAlignment="1">
      <alignment vertical="center" wrapText="1"/>
    </xf>
    <xf numFmtId="0" fontId="11" fillId="4" borderId="8" xfId="0" applyNumberFormat="1" applyFont="1" applyFill="1" applyBorder="1" applyAlignment="1">
      <alignment vertical="center" wrapText="1"/>
    </xf>
    <xf numFmtId="0" fontId="12" fillId="0" borderId="0" xfId="0" applyNumberFormat="1" applyFont="1" applyFill="1" applyBorder="1" applyAlignment="1">
      <alignment horizontal="left"/>
    </xf>
    <xf numFmtId="0" fontId="13" fillId="0" borderId="0" xfId="0" applyNumberFormat="1" applyFont="1" applyFill="1" applyBorder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FF4C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900"/>
              <a:t>Sprint 1 剩余工时燃尽（计划 vs 实际）</a:t>
            </a:r>
            <a:endParaRPr sz="900"/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"计划剩余"</c:f>
              <c:strCache>
                <c:ptCount val="1"/>
                <c:pt idx="0">
                  <c:v>计划剩余</c:v>
                </c:pt>
              </c:strCache>
            </c:strRef>
          </c:tx>
          <c:marker>
            <c:symbol val="none"/>
          </c:marker>
          <c:dLbls>
            <c:delete val="1"/>
          </c:dLbls>
          <c:cat>
            <c:strRef>
              <c:f>燃尽图!$A$22:$A$25</c:f>
              <c:strCache>
                <c:ptCount val="4"/>
                <c:pt idx="0">
                  <c:v>Sprint 开始</c:v>
                </c:pt>
                <c:pt idx="1">
                  <c:v>Day1</c:v>
                </c:pt>
                <c:pt idx="2">
                  <c:v>Day2</c:v>
                </c:pt>
                <c:pt idx="3">
                  <c:v>Day3</c:v>
                </c:pt>
              </c:strCache>
            </c:strRef>
          </c:cat>
          <c:val>
            <c:numRef>
              <c:f>燃尽图!$B$22:$B$25</c:f>
              <c:numCache>
                <c:formatCode>0</c:formatCode>
                <c:ptCount val="4"/>
                <c:pt idx="0">
                  <c:v>48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"实际剩余"</c:f>
              <c:strCache>
                <c:ptCount val="1"/>
                <c:pt idx="0">
                  <c:v>实际剩余</c:v>
                </c:pt>
              </c:strCache>
            </c:strRef>
          </c:tx>
          <c:marker>
            <c:symbol val="none"/>
          </c:marker>
          <c:dLbls>
            <c:delete val="1"/>
          </c:dLbls>
          <c:cat>
            <c:strRef>
              <c:f>燃尽图!$A$22:$A$25</c:f>
              <c:strCache>
                <c:ptCount val="4"/>
                <c:pt idx="0">
                  <c:v>Sprint 开始</c:v>
                </c:pt>
                <c:pt idx="1">
                  <c:v>Day1</c:v>
                </c:pt>
                <c:pt idx="2">
                  <c:v>Day2</c:v>
                </c:pt>
                <c:pt idx="3">
                  <c:v>Day3</c:v>
                </c:pt>
              </c:strCache>
            </c:strRef>
          </c:cat>
          <c:val>
            <c:numRef>
              <c:f>燃尽图!$C$22:$C$25</c:f>
              <c:numCache>
                <c:formatCode>0</c:formatCode>
                <c:ptCount val="4"/>
                <c:pt idx="0">
                  <c:v>48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ax val="48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0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50112"/>
        <c:crosses val="autoZero"/>
        <c:crossBetween val="between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0105018-5aff-4656-91cd-8cd57bf026a4}"/>
      </c:ext>
    </c:extLst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0</xdr:colOff>
      <xdr:row>20</xdr:row>
      <xdr:rowOff>0</xdr:rowOff>
    </xdr:from>
    <xdr:to>
      <xdr:col>16</xdr:col>
      <xdr:colOff>0</xdr:colOff>
      <xdr:row>34</xdr:row>
      <xdr:rowOff>0</xdr:rowOff>
    </xdr:to>
    <xdr:graphicFrame>
      <xdr:nvGraphicFramePr>
        <xdr:cNvPr id="2" name="Chart"/>
        <xdr:cNvGraphicFramePr/>
      </xdr:nvGraphicFramePr>
      <xdr:xfrm>
        <a:off x="8686800" y="5549900"/>
        <a:ext cx="8458200" cy="4114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showGridLines="0" topLeftCell="A7" workbookViewId="0">
      <selection activeCell="A1" sqref="A1:H1"/>
    </sheetView>
  </sheetViews>
  <sheetFormatPr defaultColWidth="9" defaultRowHeight="15" outlineLevelCol="7"/>
  <cols>
    <col min="1" max="8" width="18" style="40" customWidth="1"/>
    <col min="9" max="16384" width="9" style="40"/>
  </cols>
  <sheetData>
    <row r="1" ht="30" customHeight="1" spans="1:8">
      <c r="A1" s="41" t="s">
        <v>0</v>
      </c>
      <c r="B1" s="41" t="s">
        <v>0</v>
      </c>
      <c r="C1" s="41" t="s">
        <v>0</v>
      </c>
      <c r="D1" s="41" t="s">
        <v>0</v>
      </c>
      <c r="E1" s="41" t="s">
        <v>0</v>
      </c>
      <c r="F1" s="41" t="s">
        <v>0</v>
      </c>
      <c r="G1" s="41" t="s">
        <v>0</v>
      </c>
      <c r="H1" s="41" t="s">
        <v>0</v>
      </c>
    </row>
    <row r="3" ht="30" customHeight="1" spans="1:8">
      <c r="A3" s="42" t="s">
        <v>1</v>
      </c>
      <c r="B3" s="43" t="s">
        <v>2</v>
      </c>
      <c r="C3" s="43"/>
      <c r="D3" s="43"/>
      <c r="E3" s="43"/>
      <c r="F3" s="43"/>
      <c r="G3" s="43"/>
      <c r="H3" s="43"/>
    </row>
    <row r="4" ht="30" customHeight="1" spans="1:8">
      <c r="A4" s="42" t="s">
        <v>3</v>
      </c>
      <c r="B4" s="43" t="s">
        <v>4</v>
      </c>
      <c r="C4" s="43"/>
      <c r="D4" s="43"/>
      <c r="E4" s="43"/>
      <c r="F4" s="43"/>
      <c r="G4" s="43"/>
      <c r="H4" s="43"/>
    </row>
    <row r="5" ht="30" customHeight="1" spans="1:8">
      <c r="A5" s="42" t="s">
        <v>5</v>
      </c>
      <c r="B5" s="43" t="s">
        <v>6</v>
      </c>
      <c r="C5" s="43"/>
      <c r="D5" s="43"/>
      <c r="E5" s="43"/>
      <c r="F5" s="43"/>
      <c r="G5" s="43"/>
      <c r="H5" s="43"/>
    </row>
    <row r="6" ht="30" customHeight="1" spans="1:8">
      <c r="A6" s="42" t="s">
        <v>7</v>
      </c>
      <c r="B6" s="43" t="s">
        <v>8</v>
      </c>
      <c r="C6" s="43"/>
      <c r="D6" s="43"/>
      <c r="E6" s="43"/>
      <c r="F6" s="43"/>
      <c r="G6" s="43"/>
      <c r="H6" s="43"/>
    </row>
    <row r="7" ht="30" customHeight="1" spans="1:8">
      <c r="A7" s="42" t="s">
        <v>9</v>
      </c>
      <c r="B7" s="43" t="s">
        <v>10</v>
      </c>
      <c r="C7" s="43"/>
      <c r="D7" s="43"/>
      <c r="E7" s="43"/>
      <c r="F7" s="43"/>
      <c r="G7" s="43"/>
      <c r="H7" s="43"/>
    </row>
    <row r="8" ht="30" customHeight="1" spans="1:8">
      <c r="A8" s="42" t="s">
        <v>11</v>
      </c>
      <c r="B8" s="43" t="s">
        <v>12</v>
      </c>
      <c r="C8" s="43"/>
      <c r="D8" s="43"/>
      <c r="E8" s="43"/>
      <c r="F8" s="43"/>
      <c r="G8" s="43"/>
      <c r="H8" s="43"/>
    </row>
    <row r="9" ht="30" customHeight="1" spans="1:8">
      <c r="A9" s="42" t="s">
        <v>13</v>
      </c>
      <c r="B9" s="43" t="s">
        <v>14</v>
      </c>
      <c r="C9" s="43"/>
      <c r="D9" s="43"/>
      <c r="E9" s="43"/>
      <c r="F9" s="43"/>
      <c r="G9" s="43"/>
      <c r="H9" s="43"/>
    </row>
    <row r="11" ht="32" customHeight="1" spans="1:8">
      <c r="A11" s="44" t="s">
        <v>15</v>
      </c>
      <c r="B11" s="45" t="s">
        <v>15</v>
      </c>
      <c r="C11" s="45" t="s">
        <v>15</v>
      </c>
      <c r="D11" s="45" t="s">
        <v>15</v>
      </c>
      <c r="E11" s="45" t="s">
        <v>15</v>
      </c>
      <c r="F11" s="45" t="s">
        <v>15</v>
      </c>
      <c r="G11" s="45" t="s">
        <v>15</v>
      </c>
      <c r="H11" s="46" t="s">
        <v>15</v>
      </c>
    </row>
    <row r="12" ht="32" customHeight="1" spans="1:8">
      <c r="A12" s="47" t="s">
        <v>15</v>
      </c>
      <c r="B12" s="48" t="s">
        <v>15</v>
      </c>
      <c r="C12" s="48" t="s">
        <v>15</v>
      </c>
      <c r="D12" s="48" t="s">
        <v>15</v>
      </c>
      <c r="E12" s="48" t="s">
        <v>15</v>
      </c>
      <c r="F12" s="48" t="s">
        <v>15</v>
      </c>
      <c r="G12" s="48" t="s">
        <v>15</v>
      </c>
      <c r="H12" s="49" t="s">
        <v>15</v>
      </c>
    </row>
    <row r="13" ht="32" customHeight="1" spans="1:8">
      <c r="A13" s="50" t="s">
        <v>15</v>
      </c>
      <c r="B13" s="51" t="s">
        <v>15</v>
      </c>
      <c r="C13" s="51" t="s">
        <v>15</v>
      </c>
      <c r="D13" s="51" t="s">
        <v>15</v>
      </c>
      <c r="E13" s="51" t="s">
        <v>15</v>
      </c>
      <c r="F13" s="51" t="s">
        <v>15</v>
      </c>
      <c r="G13" s="51" t="s">
        <v>15</v>
      </c>
      <c r="H13" s="52" t="s">
        <v>15</v>
      </c>
    </row>
    <row r="15" spans="1:8">
      <c r="A15" s="53" t="s">
        <v>16</v>
      </c>
      <c r="B15" s="53" t="s">
        <v>16</v>
      </c>
      <c r="C15" s="53" t="s">
        <v>16</v>
      </c>
      <c r="D15" s="53" t="s">
        <v>16</v>
      </c>
      <c r="E15" s="53" t="s">
        <v>16</v>
      </c>
      <c r="F15" s="53" t="s">
        <v>16</v>
      </c>
      <c r="G15" s="53" t="s">
        <v>16</v>
      </c>
      <c r="H15" s="53" t="s">
        <v>16</v>
      </c>
    </row>
    <row r="16" spans="1:8">
      <c r="A16" s="53" t="s">
        <v>17</v>
      </c>
      <c r="B16" s="53" t="s">
        <v>17</v>
      </c>
      <c r="C16" s="53" t="s">
        <v>17</v>
      </c>
      <c r="D16" s="53" t="s">
        <v>17</v>
      </c>
      <c r="E16" s="53" t="s">
        <v>17</v>
      </c>
      <c r="F16" s="53" t="s">
        <v>17</v>
      </c>
      <c r="G16" s="53" t="s">
        <v>17</v>
      </c>
      <c r="H16" s="53" t="s">
        <v>17</v>
      </c>
    </row>
    <row r="17" spans="1:8">
      <c r="A17" s="54" t="s">
        <v>18</v>
      </c>
      <c r="B17" s="54" t="s">
        <v>18</v>
      </c>
      <c r="C17" s="54" t="s">
        <v>18</v>
      </c>
      <c r="D17" s="54" t="s">
        <v>18</v>
      </c>
      <c r="E17" s="54" t="s">
        <v>18</v>
      </c>
      <c r="F17" s="54" t="s">
        <v>18</v>
      </c>
      <c r="G17" s="54" t="s">
        <v>18</v>
      </c>
      <c r="H17" s="54" t="s">
        <v>18</v>
      </c>
    </row>
  </sheetData>
  <mergeCells count="12">
    <mergeCell ref="A1:H1"/>
    <mergeCell ref="B3:H3"/>
    <mergeCell ref="B4:H4"/>
    <mergeCell ref="B5:H5"/>
    <mergeCell ref="B6:H6"/>
    <mergeCell ref="B7:H7"/>
    <mergeCell ref="B8:H8"/>
    <mergeCell ref="B9:H9"/>
    <mergeCell ref="A15:H15"/>
    <mergeCell ref="A16:H16"/>
    <mergeCell ref="A17:H17"/>
    <mergeCell ref="A11:H13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8"/>
  <sheetViews>
    <sheetView showGridLines="0" zoomScale="70" zoomScaleNormal="70" topLeftCell="A26" workbookViewId="0">
      <selection activeCell="A29" sqref="$A29:$XFD32"/>
    </sheetView>
  </sheetViews>
  <sheetFormatPr defaultColWidth="9" defaultRowHeight="15"/>
  <cols>
    <col min="1" max="2" width="12" style="28" customWidth="1"/>
    <col min="3" max="3" width="11" style="28" customWidth="1"/>
    <col min="4" max="4" width="25" style="28" customWidth="1"/>
    <col min="5" max="5" width="40" style="28" customWidth="1"/>
    <col min="6" max="6" width="9" style="28" customWidth="1"/>
    <col min="7" max="7" width="12" style="28" customWidth="1"/>
    <col min="8" max="8" width="9" style="28" customWidth="1"/>
    <col min="9" max="9" width="10" style="28" customWidth="1"/>
    <col min="10" max="10" width="17" style="28" customWidth="1"/>
    <col min="11" max="11" width="10" style="28" customWidth="1"/>
    <col min="12" max="12" width="31" style="28" customWidth="1"/>
    <col min="13" max="13" width="10" style="28" customWidth="1"/>
    <col min="14" max="14" width="44" style="28" customWidth="1"/>
    <col min="15" max="15" width="28" style="29" customWidth="1"/>
    <col min="16" max="21" width="10" style="28" customWidth="1"/>
    <col min="22" max="22" width="14" style="28" customWidth="1"/>
    <col min="23" max="16384" width="9" style="28"/>
  </cols>
  <sheetData>
    <row r="1" ht="21" customHeight="1" spans="1:22">
      <c r="A1" s="30" t="s">
        <v>19</v>
      </c>
      <c r="B1" s="30" t="s">
        <v>20</v>
      </c>
      <c r="C1" s="30" t="s">
        <v>21</v>
      </c>
      <c r="D1" s="30" t="s">
        <v>22</v>
      </c>
      <c r="E1" s="30" t="s">
        <v>23</v>
      </c>
      <c r="F1" s="30" t="s">
        <v>24</v>
      </c>
      <c r="G1" s="30" t="s">
        <v>25</v>
      </c>
      <c r="H1" s="30" t="s">
        <v>26</v>
      </c>
      <c r="I1" s="30" t="s">
        <v>27</v>
      </c>
      <c r="J1" s="30" t="s">
        <v>28</v>
      </c>
      <c r="K1" s="30" t="s">
        <v>29</v>
      </c>
      <c r="L1" s="30" t="s">
        <v>30</v>
      </c>
      <c r="M1" s="30" t="s">
        <v>31</v>
      </c>
      <c r="N1" s="30" t="s">
        <v>32</v>
      </c>
      <c r="O1" s="30" t="s">
        <v>33</v>
      </c>
      <c r="P1" s="31" t="s">
        <v>34</v>
      </c>
      <c r="Q1" s="31" t="s">
        <v>34</v>
      </c>
      <c r="R1" s="31" t="s">
        <v>34</v>
      </c>
      <c r="S1" s="31" t="s">
        <v>34</v>
      </c>
      <c r="T1" s="31" t="s">
        <v>34</v>
      </c>
      <c r="U1" s="31" t="s">
        <v>34</v>
      </c>
      <c r="V1" s="30" t="s">
        <v>35</v>
      </c>
    </row>
    <row r="2" ht="21" customHeight="1" spans="1:22">
      <c r="A2" s="30" t="s">
        <v>19</v>
      </c>
      <c r="B2" s="30" t="s">
        <v>20</v>
      </c>
      <c r="C2" s="30" t="s">
        <v>21</v>
      </c>
      <c r="D2" s="30" t="s">
        <v>22</v>
      </c>
      <c r="E2" s="30" t="s">
        <v>23</v>
      </c>
      <c r="F2" s="30" t="s">
        <v>24</v>
      </c>
      <c r="G2" s="30" t="s">
        <v>25</v>
      </c>
      <c r="H2" s="30" t="s">
        <v>26</v>
      </c>
      <c r="I2" s="30" t="s">
        <v>27</v>
      </c>
      <c r="J2" s="30" t="s">
        <v>28</v>
      </c>
      <c r="K2" s="30" t="s">
        <v>29</v>
      </c>
      <c r="L2" s="30" t="s">
        <v>30</v>
      </c>
      <c r="M2" s="30" t="s">
        <v>31</v>
      </c>
      <c r="N2" s="30" t="s">
        <v>32</v>
      </c>
      <c r="O2" s="30" t="s">
        <v>33</v>
      </c>
      <c r="P2" s="32" t="s">
        <v>36</v>
      </c>
      <c r="Q2" s="33" t="s">
        <v>37</v>
      </c>
      <c r="R2" s="32" t="s">
        <v>38</v>
      </c>
      <c r="S2" s="33" t="s">
        <v>39</v>
      </c>
      <c r="T2" s="32" t="s">
        <v>40</v>
      </c>
      <c r="U2" s="33" t="s">
        <v>41</v>
      </c>
      <c r="V2" s="30" t="s">
        <v>35</v>
      </c>
    </row>
    <row r="3" ht="21" customHeight="1" spans="1:22">
      <c r="A3" s="30" t="s">
        <v>19</v>
      </c>
      <c r="B3" s="30" t="s">
        <v>20</v>
      </c>
      <c r="C3" s="30" t="s">
        <v>21</v>
      </c>
      <c r="D3" s="30" t="s">
        <v>22</v>
      </c>
      <c r="E3" s="30" t="s">
        <v>23</v>
      </c>
      <c r="F3" s="30" t="s">
        <v>24</v>
      </c>
      <c r="G3" s="30" t="s">
        <v>25</v>
      </c>
      <c r="H3" s="30" t="s">
        <v>26</v>
      </c>
      <c r="I3" s="30" t="s">
        <v>27</v>
      </c>
      <c r="J3" s="30" t="s">
        <v>28</v>
      </c>
      <c r="K3" s="30" t="s">
        <v>29</v>
      </c>
      <c r="L3" s="30" t="s">
        <v>30</v>
      </c>
      <c r="M3" s="30" t="s">
        <v>31</v>
      </c>
      <c r="N3" s="30" t="s">
        <v>32</v>
      </c>
      <c r="O3" s="30" t="s">
        <v>33</v>
      </c>
      <c r="P3" s="32" t="s">
        <v>36</v>
      </c>
      <c r="Q3" s="33" t="s">
        <v>37</v>
      </c>
      <c r="R3" s="32" t="s">
        <v>38</v>
      </c>
      <c r="S3" s="33" t="s">
        <v>39</v>
      </c>
      <c r="T3" s="32" t="s">
        <v>40</v>
      </c>
      <c r="U3" s="33" t="s">
        <v>41</v>
      </c>
      <c r="V3" s="30" t="s">
        <v>35</v>
      </c>
    </row>
    <row r="4" ht="21" customHeight="1" spans="1:22">
      <c r="A4" s="30" t="s">
        <v>19</v>
      </c>
      <c r="B4" s="30" t="s">
        <v>20</v>
      </c>
      <c r="C4" s="30" t="s">
        <v>21</v>
      </c>
      <c r="D4" s="30" t="s">
        <v>22</v>
      </c>
      <c r="E4" s="30" t="s">
        <v>23</v>
      </c>
      <c r="F4" s="30" t="s">
        <v>24</v>
      </c>
      <c r="G4" s="30" t="s">
        <v>25</v>
      </c>
      <c r="H4" s="30">
        <f t="shared" ref="H4:Q4" si="0">SUM(H5:H28)</f>
        <v>48</v>
      </c>
      <c r="I4" s="30">
        <f t="shared" si="0"/>
        <v>0</v>
      </c>
      <c r="J4" s="30">
        <f t="shared" si="0"/>
        <v>0</v>
      </c>
      <c r="K4" s="30">
        <f t="shared" si="0"/>
        <v>0</v>
      </c>
      <c r="L4" s="30">
        <f t="shared" si="0"/>
        <v>0</v>
      </c>
      <c r="M4" s="30">
        <f t="shared" si="0"/>
        <v>0</v>
      </c>
      <c r="N4" s="30">
        <f t="shared" si="0"/>
        <v>0</v>
      </c>
      <c r="O4" s="30">
        <f t="shared" si="0"/>
        <v>0</v>
      </c>
      <c r="P4" s="32">
        <f t="shared" si="0"/>
        <v>24</v>
      </c>
      <c r="Q4" s="33">
        <f t="shared" si="0"/>
        <v>24</v>
      </c>
      <c r="R4" s="32" t="s">
        <v>38</v>
      </c>
      <c r="S4" s="33" t="s">
        <v>39</v>
      </c>
      <c r="T4" s="32" t="s">
        <v>40</v>
      </c>
      <c r="U4" s="33" t="s">
        <v>41</v>
      </c>
      <c r="V4" s="30" t="s">
        <v>35</v>
      </c>
    </row>
    <row r="5" ht="66" customHeight="1" spans="1:22">
      <c r="A5" s="5" t="s">
        <v>42</v>
      </c>
      <c r="B5" s="34" t="s">
        <v>43</v>
      </c>
      <c r="C5" s="34" t="s">
        <v>44</v>
      </c>
      <c r="D5" s="35" t="s">
        <v>45</v>
      </c>
      <c r="E5" s="6" t="s">
        <v>46</v>
      </c>
      <c r="F5" s="5" t="s">
        <v>47</v>
      </c>
      <c r="G5" s="36">
        <v>3</v>
      </c>
      <c r="H5" s="36">
        <v>2</v>
      </c>
      <c r="I5" s="5" t="s">
        <v>48</v>
      </c>
      <c r="J5" s="5" t="s">
        <v>49</v>
      </c>
      <c r="K5" s="5" t="s">
        <v>50</v>
      </c>
      <c r="L5" s="5" t="s">
        <v>51</v>
      </c>
      <c r="M5" s="5" t="s">
        <v>52</v>
      </c>
      <c r="N5" s="6" t="s">
        <v>53</v>
      </c>
      <c r="O5" s="6" t="s">
        <v>54</v>
      </c>
      <c r="P5" s="37">
        <f t="shared" ref="P5:P28" si="1">IF($I5="Day1",0,$H5)</f>
        <v>0</v>
      </c>
      <c r="Q5" s="38">
        <v>0</v>
      </c>
      <c r="R5" s="37">
        <f t="shared" ref="R5:R28" si="2">0</f>
        <v>0</v>
      </c>
      <c r="S5" s="38">
        <v>0</v>
      </c>
      <c r="T5" s="37">
        <f t="shared" ref="T5:T28" si="3">0</f>
        <v>0</v>
      </c>
      <c r="U5" s="38">
        <v>0</v>
      </c>
      <c r="V5" s="39" t="str">
        <f t="shared" ref="V5:V28" si="4">IF($M5="已完成","完成",IF($M5="阻塞","阻塞",IF($U5=0,"按计划待验收",IF($U5&lt;$H5,"进行中","未开始"))))</f>
        <v>按计划待验收</v>
      </c>
    </row>
    <row r="6" ht="66" customHeight="1" spans="1:22">
      <c r="A6" s="5" t="s">
        <v>55</v>
      </c>
      <c r="B6" s="5" t="s">
        <v>43</v>
      </c>
      <c r="C6" s="5" t="s">
        <v>44</v>
      </c>
      <c r="D6" s="6" t="s">
        <v>45</v>
      </c>
      <c r="E6" s="6" t="s">
        <v>56</v>
      </c>
      <c r="F6" s="5" t="s">
        <v>47</v>
      </c>
      <c r="G6" s="36"/>
      <c r="H6" s="36">
        <v>2</v>
      </c>
      <c r="I6" s="5" t="s">
        <v>48</v>
      </c>
      <c r="J6" s="5" t="s">
        <v>42</v>
      </c>
      <c r="K6" s="5" t="s">
        <v>57</v>
      </c>
      <c r="L6" s="5" t="s">
        <v>58</v>
      </c>
      <c r="M6" s="5" t="s">
        <v>52</v>
      </c>
      <c r="N6" s="6" t="s">
        <v>59</v>
      </c>
      <c r="O6" s="6" t="s">
        <v>60</v>
      </c>
      <c r="P6" s="37">
        <f t="shared" si="1"/>
        <v>0</v>
      </c>
      <c r="Q6" s="38">
        <v>0</v>
      </c>
      <c r="R6" s="37">
        <f t="shared" si="2"/>
        <v>0</v>
      </c>
      <c r="S6" s="38">
        <v>0</v>
      </c>
      <c r="T6" s="37">
        <f t="shared" si="3"/>
        <v>0</v>
      </c>
      <c r="U6" s="38">
        <v>0</v>
      </c>
      <c r="V6" s="39" t="str">
        <f t="shared" si="4"/>
        <v>按计划待验收</v>
      </c>
    </row>
    <row r="7" ht="66" customHeight="1" spans="1:22">
      <c r="A7" s="5" t="s">
        <v>61</v>
      </c>
      <c r="B7" s="34" t="s">
        <v>62</v>
      </c>
      <c r="C7" s="34" t="s">
        <v>63</v>
      </c>
      <c r="D7" s="35" t="s">
        <v>64</v>
      </c>
      <c r="E7" s="6" t="s">
        <v>65</v>
      </c>
      <c r="F7" s="5" t="s">
        <v>47</v>
      </c>
      <c r="G7" s="36">
        <v>3</v>
      </c>
      <c r="H7" s="36">
        <v>2</v>
      </c>
      <c r="I7" s="5" t="s">
        <v>48</v>
      </c>
      <c r="J7" s="5" t="s">
        <v>42</v>
      </c>
      <c r="K7" s="5" t="s">
        <v>66</v>
      </c>
      <c r="L7" s="5" t="s">
        <v>67</v>
      </c>
      <c r="M7" s="5" t="s">
        <v>52</v>
      </c>
      <c r="N7" s="6" t="s">
        <v>68</v>
      </c>
      <c r="O7" s="6" t="s">
        <v>69</v>
      </c>
      <c r="P7" s="37">
        <f t="shared" si="1"/>
        <v>0</v>
      </c>
      <c r="Q7" s="38">
        <v>0</v>
      </c>
      <c r="R7" s="37">
        <f t="shared" si="2"/>
        <v>0</v>
      </c>
      <c r="S7" s="38">
        <v>0</v>
      </c>
      <c r="T7" s="37">
        <f t="shared" si="3"/>
        <v>0</v>
      </c>
      <c r="U7" s="38">
        <v>0</v>
      </c>
      <c r="V7" s="39" t="str">
        <f t="shared" si="4"/>
        <v>按计划待验收</v>
      </c>
    </row>
    <row r="8" ht="66" customHeight="1" spans="1:22">
      <c r="A8" s="5" t="s">
        <v>70</v>
      </c>
      <c r="B8" s="5" t="s">
        <v>62</v>
      </c>
      <c r="C8" s="5" t="s">
        <v>63</v>
      </c>
      <c r="D8" s="6" t="s">
        <v>64</v>
      </c>
      <c r="E8" s="6" t="s">
        <v>71</v>
      </c>
      <c r="F8" s="5" t="s">
        <v>47</v>
      </c>
      <c r="G8" s="36"/>
      <c r="H8" s="36">
        <v>2</v>
      </c>
      <c r="I8" s="5" t="s">
        <v>48</v>
      </c>
      <c r="J8" s="5" t="s">
        <v>61</v>
      </c>
      <c r="K8" s="5" t="s">
        <v>72</v>
      </c>
      <c r="L8" s="5" t="s">
        <v>73</v>
      </c>
      <c r="M8" s="5" t="s">
        <v>52</v>
      </c>
      <c r="N8" s="6" t="s">
        <v>74</v>
      </c>
      <c r="O8" s="6" t="s">
        <v>75</v>
      </c>
      <c r="P8" s="37">
        <f t="shared" si="1"/>
        <v>0</v>
      </c>
      <c r="Q8" s="38">
        <v>0</v>
      </c>
      <c r="R8" s="37">
        <f t="shared" si="2"/>
        <v>0</v>
      </c>
      <c r="S8" s="38">
        <v>0</v>
      </c>
      <c r="T8" s="37">
        <f t="shared" si="3"/>
        <v>0</v>
      </c>
      <c r="U8" s="38">
        <v>0</v>
      </c>
      <c r="V8" s="39" t="str">
        <f t="shared" si="4"/>
        <v>按计划待验收</v>
      </c>
    </row>
    <row r="9" ht="66" customHeight="1" spans="1:22">
      <c r="A9" s="5" t="s">
        <v>76</v>
      </c>
      <c r="B9" s="34" t="s">
        <v>77</v>
      </c>
      <c r="C9" s="34" t="s">
        <v>78</v>
      </c>
      <c r="D9" s="35" t="s">
        <v>79</v>
      </c>
      <c r="E9" s="6" t="s">
        <v>80</v>
      </c>
      <c r="F9" s="5" t="s">
        <v>47</v>
      </c>
      <c r="G9" s="36">
        <v>5</v>
      </c>
      <c r="H9" s="36">
        <v>2</v>
      </c>
      <c r="I9" s="5" t="s">
        <v>48</v>
      </c>
      <c r="J9" s="5" t="s">
        <v>42</v>
      </c>
      <c r="K9" s="5" t="s">
        <v>57</v>
      </c>
      <c r="L9" s="5" t="s">
        <v>81</v>
      </c>
      <c r="M9" s="5" t="s">
        <v>52</v>
      </c>
      <c r="N9" s="6" t="s">
        <v>82</v>
      </c>
      <c r="O9" s="6" t="s">
        <v>83</v>
      </c>
      <c r="P9" s="37">
        <f t="shared" si="1"/>
        <v>0</v>
      </c>
      <c r="Q9" s="38">
        <v>0</v>
      </c>
      <c r="R9" s="37">
        <f t="shared" si="2"/>
        <v>0</v>
      </c>
      <c r="S9" s="38">
        <v>0</v>
      </c>
      <c r="T9" s="37">
        <f t="shared" si="3"/>
        <v>0</v>
      </c>
      <c r="U9" s="38">
        <v>0</v>
      </c>
      <c r="V9" s="39" t="str">
        <f t="shared" si="4"/>
        <v>按计划待验收</v>
      </c>
    </row>
    <row r="10" ht="66" customHeight="1" spans="1:22">
      <c r="A10" s="5" t="s">
        <v>84</v>
      </c>
      <c r="B10" s="5" t="s">
        <v>77</v>
      </c>
      <c r="C10" s="5" t="s">
        <v>78</v>
      </c>
      <c r="D10" s="6" t="s">
        <v>79</v>
      </c>
      <c r="E10" s="6" t="s">
        <v>85</v>
      </c>
      <c r="F10" s="5" t="s">
        <v>47</v>
      </c>
      <c r="G10" s="36"/>
      <c r="H10" s="36">
        <v>2</v>
      </c>
      <c r="I10" s="5" t="s">
        <v>86</v>
      </c>
      <c r="J10" s="5" t="s">
        <v>76</v>
      </c>
      <c r="K10" s="5" t="s">
        <v>50</v>
      </c>
      <c r="L10" s="5" t="s">
        <v>87</v>
      </c>
      <c r="M10" s="5" t="s">
        <v>52</v>
      </c>
      <c r="N10" s="6" t="s">
        <v>88</v>
      </c>
      <c r="O10" s="6" t="s">
        <v>89</v>
      </c>
      <c r="P10" s="37">
        <f t="shared" si="1"/>
        <v>2</v>
      </c>
      <c r="Q10" s="38">
        <v>2</v>
      </c>
      <c r="R10" s="37">
        <f t="shared" si="2"/>
        <v>0</v>
      </c>
      <c r="S10" s="38">
        <v>0</v>
      </c>
      <c r="T10" s="37">
        <f t="shared" si="3"/>
        <v>0</v>
      </c>
      <c r="U10" s="38">
        <v>0</v>
      </c>
      <c r="V10" s="39" t="str">
        <f t="shared" si="4"/>
        <v>按计划待验收</v>
      </c>
    </row>
    <row r="11" ht="66" customHeight="1" spans="1:22">
      <c r="A11" s="5" t="s">
        <v>90</v>
      </c>
      <c r="B11" s="34" t="s">
        <v>91</v>
      </c>
      <c r="C11" s="34" t="s">
        <v>92</v>
      </c>
      <c r="D11" s="35" t="s">
        <v>93</v>
      </c>
      <c r="E11" s="6" t="s">
        <v>94</v>
      </c>
      <c r="F11" s="5" t="s">
        <v>47</v>
      </c>
      <c r="G11" s="36">
        <v>5</v>
      </c>
      <c r="H11" s="36">
        <v>2</v>
      </c>
      <c r="I11" s="5" t="s">
        <v>48</v>
      </c>
      <c r="J11" s="5" t="s">
        <v>61</v>
      </c>
      <c r="K11" s="5" t="s">
        <v>50</v>
      </c>
      <c r="L11" s="5" t="s">
        <v>95</v>
      </c>
      <c r="M11" s="5" t="s">
        <v>52</v>
      </c>
      <c r="N11" s="6" t="s">
        <v>96</v>
      </c>
      <c r="O11" s="6" t="s">
        <v>97</v>
      </c>
      <c r="P11" s="37">
        <f t="shared" si="1"/>
        <v>0</v>
      </c>
      <c r="Q11" s="38">
        <v>0</v>
      </c>
      <c r="R11" s="37">
        <f t="shared" si="2"/>
        <v>0</v>
      </c>
      <c r="S11" s="38">
        <v>0</v>
      </c>
      <c r="T11" s="37">
        <f t="shared" si="3"/>
        <v>0</v>
      </c>
      <c r="U11" s="38">
        <v>0</v>
      </c>
      <c r="V11" s="39" t="str">
        <f t="shared" si="4"/>
        <v>按计划待验收</v>
      </c>
    </row>
    <row r="12" ht="66" customHeight="1" spans="1:22">
      <c r="A12" s="5" t="s">
        <v>98</v>
      </c>
      <c r="B12" s="5" t="s">
        <v>91</v>
      </c>
      <c r="C12" s="5" t="s">
        <v>92</v>
      </c>
      <c r="D12" s="6" t="s">
        <v>93</v>
      </c>
      <c r="E12" s="6" t="s">
        <v>99</v>
      </c>
      <c r="F12" s="5" t="s">
        <v>47</v>
      </c>
      <c r="G12" s="36"/>
      <c r="H12" s="36">
        <v>2</v>
      </c>
      <c r="I12" s="5" t="s">
        <v>48</v>
      </c>
      <c r="J12" s="5" t="s">
        <v>90</v>
      </c>
      <c r="K12" s="5" t="s">
        <v>66</v>
      </c>
      <c r="L12" s="5" t="s">
        <v>100</v>
      </c>
      <c r="M12" s="5" t="s">
        <v>52</v>
      </c>
      <c r="N12" s="6" t="s">
        <v>101</v>
      </c>
      <c r="O12" s="6" t="s">
        <v>102</v>
      </c>
      <c r="P12" s="37">
        <f t="shared" si="1"/>
        <v>0</v>
      </c>
      <c r="Q12" s="38">
        <v>0</v>
      </c>
      <c r="R12" s="37">
        <f t="shared" si="2"/>
        <v>0</v>
      </c>
      <c r="S12" s="38">
        <v>0</v>
      </c>
      <c r="T12" s="37">
        <f t="shared" si="3"/>
        <v>0</v>
      </c>
      <c r="U12" s="38">
        <v>0</v>
      </c>
      <c r="V12" s="39" t="str">
        <f t="shared" si="4"/>
        <v>按计划待验收</v>
      </c>
    </row>
    <row r="13" ht="66" customHeight="1" spans="1:22">
      <c r="A13" s="5" t="s">
        <v>103</v>
      </c>
      <c r="B13" s="34" t="s">
        <v>104</v>
      </c>
      <c r="C13" s="34" t="s">
        <v>105</v>
      </c>
      <c r="D13" s="35" t="s">
        <v>106</v>
      </c>
      <c r="E13" s="6" t="s">
        <v>107</v>
      </c>
      <c r="F13" s="5" t="s">
        <v>47</v>
      </c>
      <c r="G13" s="36">
        <v>5</v>
      </c>
      <c r="H13" s="36">
        <v>2</v>
      </c>
      <c r="I13" s="5" t="s">
        <v>48</v>
      </c>
      <c r="J13" s="5" t="s">
        <v>90</v>
      </c>
      <c r="K13" s="5" t="s">
        <v>66</v>
      </c>
      <c r="L13" s="5" t="s">
        <v>108</v>
      </c>
      <c r="M13" s="5" t="s">
        <v>52</v>
      </c>
      <c r="N13" s="6" t="s">
        <v>109</v>
      </c>
      <c r="O13" s="6" t="s">
        <v>110</v>
      </c>
      <c r="P13" s="37">
        <f t="shared" si="1"/>
        <v>0</v>
      </c>
      <c r="Q13" s="38">
        <v>0</v>
      </c>
      <c r="R13" s="37">
        <f t="shared" si="2"/>
        <v>0</v>
      </c>
      <c r="S13" s="38">
        <v>0</v>
      </c>
      <c r="T13" s="37">
        <f t="shared" si="3"/>
        <v>0</v>
      </c>
      <c r="U13" s="38">
        <v>0</v>
      </c>
      <c r="V13" s="39" t="str">
        <f t="shared" si="4"/>
        <v>按计划待验收</v>
      </c>
    </row>
    <row r="14" ht="66" customHeight="1" spans="1:22">
      <c r="A14" s="5" t="s">
        <v>111</v>
      </c>
      <c r="B14" s="5" t="s">
        <v>104</v>
      </c>
      <c r="C14" s="5" t="s">
        <v>105</v>
      </c>
      <c r="D14" s="6" t="s">
        <v>106</v>
      </c>
      <c r="E14" s="6" t="s">
        <v>112</v>
      </c>
      <c r="F14" s="5" t="s">
        <v>47</v>
      </c>
      <c r="G14" s="36"/>
      <c r="H14" s="36">
        <v>2</v>
      </c>
      <c r="I14" s="5" t="s">
        <v>86</v>
      </c>
      <c r="J14" s="5" t="s">
        <v>113</v>
      </c>
      <c r="K14" s="5" t="s">
        <v>57</v>
      </c>
      <c r="L14" s="5" t="s">
        <v>114</v>
      </c>
      <c r="M14" s="5" t="s">
        <v>52</v>
      </c>
      <c r="N14" s="6" t="s">
        <v>115</v>
      </c>
      <c r="O14" s="6" t="s">
        <v>116</v>
      </c>
      <c r="P14" s="37">
        <f t="shared" si="1"/>
        <v>2</v>
      </c>
      <c r="Q14" s="38">
        <v>2</v>
      </c>
      <c r="R14" s="37">
        <f t="shared" si="2"/>
        <v>0</v>
      </c>
      <c r="S14" s="38">
        <v>0</v>
      </c>
      <c r="T14" s="37">
        <f t="shared" si="3"/>
        <v>0</v>
      </c>
      <c r="U14" s="38">
        <v>0</v>
      </c>
      <c r="V14" s="39" t="str">
        <f t="shared" si="4"/>
        <v>按计划待验收</v>
      </c>
    </row>
    <row r="15" ht="66" customHeight="1" spans="1:22">
      <c r="A15" s="5" t="s">
        <v>117</v>
      </c>
      <c r="B15" s="34" t="s">
        <v>118</v>
      </c>
      <c r="C15" s="34" t="s">
        <v>119</v>
      </c>
      <c r="D15" s="35" t="s">
        <v>120</v>
      </c>
      <c r="E15" s="6" t="s">
        <v>121</v>
      </c>
      <c r="F15" s="5" t="s">
        <v>47</v>
      </c>
      <c r="G15" s="36">
        <v>5</v>
      </c>
      <c r="H15" s="36">
        <v>2</v>
      </c>
      <c r="I15" s="5" t="s">
        <v>86</v>
      </c>
      <c r="J15" s="5" t="s">
        <v>122</v>
      </c>
      <c r="K15" s="5" t="s">
        <v>66</v>
      </c>
      <c r="L15" s="5" t="s">
        <v>123</v>
      </c>
      <c r="M15" s="5" t="s">
        <v>52</v>
      </c>
      <c r="N15" s="6" t="s">
        <v>124</v>
      </c>
      <c r="O15" s="6" t="s">
        <v>125</v>
      </c>
      <c r="P15" s="37">
        <f t="shared" si="1"/>
        <v>2</v>
      </c>
      <c r="Q15" s="38">
        <v>2</v>
      </c>
      <c r="R15" s="37">
        <f t="shared" si="2"/>
        <v>0</v>
      </c>
      <c r="S15" s="38">
        <v>0</v>
      </c>
      <c r="T15" s="37">
        <f t="shared" si="3"/>
        <v>0</v>
      </c>
      <c r="U15" s="38">
        <v>0</v>
      </c>
      <c r="V15" s="39" t="str">
        <f t="shared" si="4"/>
        <v>按计划待验收</v>
      </c>
    </row>
    <row r="16" ht="66" customHeight="1" spans="1:22">
      <c r="A16" s="5" t="s">
        <v>126</v>
      </c>
      <c r="B16" s="5" t="s">
        <v>118</v>
      </c>
      <c r="C16" s="5" t="s">
        <v>119</v>
      </c>
      <c r="D16" s="6" t="s">
        <v>120</v>
      </c>
      <c r="E16" s="6" t="s">
        <v>127</v>
      </c>
      <c r="F16" s="5" t="s">
        <v>47</v>
      </c>
      <c r="G16" s="36"/>
      <c r="H16" s="36">
        <v>2</v>
      </c>
      <c r="I16" s="5" t="s">
        <v>86</v>
      </c>
      <c r="J16" s="5" t="s">
        <v>117</v>
      </c>
      <c r="K16" s="5" t="s">
        <v>72</v>
      </c>
      <c r="L16" s="5" t="s">
        <v>128</v>
      </c>
      <c r="M16" s="5" t="s">
        <v>52</v>
      </c>
      <c r="N16" s="6" t="s">
        <v>129</v>
      </c>
      <c r="O16" s="6" t="s">
        <v>130</v>
      </c>
      <c r="P16" s="37">
        <f t="shared" si="1"/>
        <v>2</v>
      </c>
      <c r="Q16" s="38">
        <v>2</v>
      </c>
      <c r="R16" s="37">
        <f t="shared" si="2"/>
        <v>0</v>
      </c>
      <c r="S16" s="38">
        <v>0</v>
      </c>
      <c r="T16" s="37">
        <f t="shared" si="3"/>
        <v>0</v>
      </c>
      <c r="U16" s="38">
        <v>0</v>
      </c>
      <c r="V16" s="39" t="str">
        <f t="shared" si="4"/>
        <v>按计划待验收</v>
      </c>
    </row>
    <row r="17" ht="66" customHeight="1" spans="1:22">
      <c r="A17" s="5" t="s">
        <v>131</v>
      </c>
      <c r="B17" s="34" t="s">
        <v>132</v>
      </c>
      <c r="C17" s="34" t="s">
        <v>133</v>
      </c>
      <c r="D17" s="35" t="s">
        <v>134</v>
      </c>
      <c r="E17" s="6" t="s">
        <v>135</v>
      </c>
      <c r="F17" s="5" t="s">
        <v>47</v>
      </c>
      <c r="G17" s="36">
        <v>3</v>
      </c>
      <c r="H17" s="36">
        <v>2</v>
      </c>
      <c r="I17" s="5" t="s">
        <v>48</v>
      </c>
      <c r="J17" s="5" t="s">
        <v>42</v>
      </c>
      <c r="K17" s="5" t="s">
        <v>57</v>
      </c>
      <c r="L17" s="5" t="s">
        <v>136</v>
      </c>
      <c r="M17" s="5" t="s">
        <v>52</v>
      </c>
      <c r="N17" s="6" t="s">
        <v>137</v>
      </c>
      <c r="O17" s="6" t="s">
        <v>138</v>
      </c>
      <c r="P17" s="37">
        <f t="shared" si="1"/>
        <v>0</v>
      </c>
      <c r="Q17" s="38">
        <v>0</v>
      </c>
      <c r="R17" s="37">
        <f t="shared" si="2"/>
        <v>0</v>
      </c>
      <c r="S17" s="38">
        <v>0</v>
      </c>
      <c r="T17" s="37">
        <f t="shared" si="3"/>
        <v>0</v>
      </c>
      <c r="U17" s="38">
        <v>0</v>
      </c>
      <c r="V17" s="39" t="str">
        <f t="shared" si="4"/>
        <v>按计划待验收</v>
      </c>
    </row>
    <row r="18" ht="66" customHeight="1" spans="1:22">
      <c r="A18" s="5" t="s">
        <v>139</v>
      </c>
      <c r="B18" s="5" t="s">
        <v>132</v>
      </c>
      <c r="C18" s="5" t="s">
        <v>133</v>
      </c>
      <c r="D18" s="6" t="s">
        <v>134</v>
      </c>
      <c r="E18" s="6" t="s">
        <v>140</v>
      </c>
      <c r="F18" s="5" t="s">
        <v>47</v>
      </c>
      <c r="G18" s="36"/>
      <c r="H18" s="36">
        <v>2</v>
      </c>
      <c r="I18" s="5" t="s">
        <v>48</v>
      </c>
      <c r="J18" s="5" t="s">
        <v>131</v>
      </c>
      <c r="K18" s="5" t="s">
        <v>50</v>
      </c>
      <c r="L18" s="5" t="s">
        <v>141</v>
      </c>
      <c r="M18" s="5" t="s">
        <v>52</v>
      </c>
      <c r="N18" s="6" t="s">
        <v>142</v>
      </c>
      <c r="O18" s="6" t="s">
        <v>143</v>
      </c>
      <c r="P18" s="37">
        <f t="shared" si="1"/>
        <v>0</v>
      </c>
      <c r="Q18" s="38">
        <v>0</v>
      </c>
      <c r="R18" s="37">
        <f t="shared" si="2"/>
        <v>0</v>
      </c>
      <c r="S18" s="38">
        <v>0</v>
      </c>
      <c r="T18" s="37">
        <f t="shared" si="3"/>
        <v>0</v>
      </c>
      <c r="U18" s="38">
        <v>0</v>
      </c>
      <c r="V18" s="39" t="str">
        <f t="shared" si="4"/>
        <v>按计划待验收</v>
      </c>
    </row>
    <row r="19" ht="66" customHeight="1" spans="1:22">
      <c r="A19" s="5" t="s">
        <v>144</v>
      </c>
      <c r="B19" s="34" t="s">
        <v>145</v>
      </c>
      <c r="C19" s="34" t="s">
        <v>146</v>
      </c>
      <c r="D19" s="35" t="s">
        <v>147</v>
      </c>
      <c r="E19" s="6" t="s">
        <v>148</v>
      </c>
      <c r="F19" s="5" t="s">
        <v>47</v>
      </c>
      <c r="G19" s="36">
        <v>3</v>
      </c>
      <c r="H19" s="36">
        <v>2</v>
      </c>
      <c r="I19" s="5" t="s">
        <v>48</v>
      </c>
      <c r="J19" s="5" t="s">
        <v>131</v>
      </c>
      <c r="K19" s="5" t="s">
        <v>72</v>
      </c>
      <c r="L19" s="5" t="s">
        <v>149</v>
      </c>
      <c r="M19" s="5" t="s">
        <v>52</v>
      </c>
      <c r="N19" s="6" t="s">
        <v>150</v>
      </c>
      <c r="O19" s="6" t="s">
        <v>151</v>
      </c>
      <c r="P19" s="37">
        <f t="shared" si="1"/>
        <v>0</v>
      </c>
      <c r="Q19" s="38">
        <v>0</v>
      </c>
      <c r="R19" s="37">
        <f t="shared" si="2"/>
        <v>0</v>
      </c>
      <c r="S19" s="38">
        <v>0</v>
      </c>
      <c r="T19" s="37">
        <f t="shared" si="3"/>
        <v>0</v>
      </c>
      <c r="U19" s="38">
        <v>0</v>
      </c>
      <c r="V19" s="39" t="str">
        <f t="shared" si="4"/>
        <v>按计划待验收</v>
      </c>
    </row>
    <row r="20" ht="66" customHeight="1" spans="1:22">
      <c r="A20" s="5" t="s">
        <v>152</v>
      </c>
      <c r="B20" s="5" t="s">
        <v>145</v>
      </c>
      <c r="C20" s="5" t="s">
        <v>146</v>
      </c>
      <c r="D20" s="6" t="s">
        <v>147</v>
      </c>
      <c r="E20" s="6" t="s">
        <v>153</v>
      </c>
      <c r="F20" s="5" t="s">
        <v>47</v>
      </c>
      <c r="G20" s="36"/>
      <c r="H20" s="36">
        <v>2</v>
      </c>
      <c r="I20" s="5" t="s">
        <v>86</v>
      </c>
      <c r="J20" s="5" t="s">
        <v>144</v>
      </c>
      <c r="K20" s="5" t="s">
        <v>57</v>
      </c>
      <c r="L20" s="5" t="s">
        <v>154</v>
      </c>
      <c r="M20" s="5" t="s">
        <v>52</v>
      </c>
      <c r="N20" s="6" t="s">
        <v>155</v>
      </c>
      <c r="O20" s="6" t="s">
        <v>156</v>
      </c>
      <c r="P20" s="37">
        <f t="shared" si="1"/>
        <v>2</v>
      </c>
      <c r="Q20" s="38">
        <v>2</v>
      </c>
      <c r="R20" s="37">
        <f t="shared" si="2"/>
        <v>0</v>
      </c>
      <c r="S20" s="38">
        <v>0</v>
      </c>
      <c r="T20" s="37">
        <f t="shared" si="3"/>
        <v>0</v>
      </c>
      <c r="U20" s="38">
        <v>0</v>
      </c>
      <c r="V20" s="39" t="str">
        <f t="shared" si="4"/>
        <v>按计划待验收</v>
      </c>
    </row>
    <row r="21" ht="66" customHeight="1" spans="1:22">
      <c r="A21" s="5" t="s">
        <v>157</v>
      </c>
      <c r="B21" s="34" t="s">
        <v>158</v>
      </c>
      <c r="C21" s="34" t="s">
        <v>159</v>
      </c>
      <c r="D21" s="35" t="s">
        <v>160</v>
      </c>
      <c r="E21" s="6" t="s">
        <v>161</v>
      </c>
      <c r="F21" s="5" t="s">
        <v>47</v>
      </c>
      <c r="G21" s="36">
        <v>5</v>
      </c>
      <c r="H21" s="36">
        <v>2</v>
      </c>
      <c r="I21" s="5" t="s">
        <v>86</v>
      </c>
      <c r="J21" s="5" t="s">
        <v>162</v>
      </c>
      <c r="K21" s="5" t="s">
        <v>50</v>
      </c>
      <c r="L21" s="5" t="s">
        <v>163</v>
      </c>
      <c r="M21" s="5" t="s">
        <v>52</v>
      </c>
      <c r="N21" s="6" t="s">
        <v>164</v>
      </c>
      <c r="O21" s="6" t="s">
        <v>165</v>
      </c>
      <c r="P21" s="37">
        <f t="shared" si="1"/>
        <v>2</v>
      </c>
      <c r="Q21" s="38">
        <v>2</v>
      </c>
      <c r="R21" s="37">
        <f t="shared" si="2"/>
        <v>0</v>
      </c>
      <c r="S21" s="38">
        <v>0</v>
      </c>
      <c r="T21" s="37">
        <f t="shared" si="3"/>
        <v>0</v>
      </c>
      <c r="U21" s="38">
        <v>0</v>
      </c>
      <c r="V21" s="39" t="str">
        <f t="shared" si="4"/>
        <v>按计划待验收</v>
      </c>
    </row>
    <row r="22" ht="66" customHeight="1" spans="1:22">
      <c r="A22" s="5" t="s">
        <v>166</v>
      </c>
      <c r="B22" s="5" t="s">
        <v>158</v>
      </c>
      <c r="C22" s="5" t="s">
        <v>159</v>
      </c>
      <c r="D22" s="6" t="s">
        <v>160</v>
      </c>
      <c r="E22" s="6" t="s">
        <v>167</v>
      </c>
      <c r="F22" s="5" t="s">
        <v>47</v>
      </c>
      <c r="G22" s="36"/>
      <c r="H22" s="36">
        <v>2</v>
      </c>
      <c r="I22" s="5" t="s">
        <v>86</v>
      </c>
      <c r="J22" s="5" t="s">
        <v>168</v>
      </c>
      <c r="K22" s="5" t="s">
        <v>66</v>
      </c>
      <c r="L22" s="5" t="s">
        <v>169</v>
      </c>
      <c r="M22" s="5" t="s">
        <v>52</v>
      </c>
      <c r="N22" s="6" t="s">
        <v>170</v>
      </c>
      <c r="O22" s="6" t="s">
        <v>171</v>
      </c>
      <c r="P22" s="37">
        <f t="shared" si="1"/>
        <v>2</v>
      </c>
      <c r="Q22" s="38">
        <v>2</v>
      </c>
      <c r="R22" s="37">
        <f t="shared" si="2"/>
        <v>0</v>
      </c>
      <c r="S22" s="38">
        <v>0</v>
      </c>
      <c r="T22" s="37">
        <f t="shared" si="3"/>
        <v>0</v>
      </c>
      <c r="U22" s="38">
        <v>0</v>
      </c>
      <c r="V22" s="39" t="str">
        <f t="shared" si="4"/>
        <v>按计划待验收</v>
      </c>
    </row>
    <row r="23" ht="66" customHeight="1" spans="1:22">
      <c r="A23" s="5" t="s">
        <v>172</v>
      </c>
      <c r="B23" s="34" t="s">
        <v>173</v>
      </c>
      <c r="C23" s="34" t="s">
        <v>174</v>
      </c>
      <c r="D23" s="35" t="s">
        <v>175</v>
      </c>
      <c r="E23" s="6" t="s">
        <v>176</v>
      </c>
      <c r="F23" s="5" t="s">
        <v>47</v>
      </c>
      <c r="G23" s="36">
        <v>3</v>
      </c>
      <c r="H23" s="36">
        <v>2</v>
      </c>
      <c r="I23" s="5" t="s">
        <v>86</v>
      </c>
      <c r="J23" s="5" t="s">
        <v>177</v>
      </c>
      <c r="K23" s="5" t="s">
        <v>57</v>
      </c>
      <c r="L23" s="5" t="s">
        <v>178</v>
      </c>
      <c r="M23" s="5" t="s">
        <v>52</v>
      </c>
      <c r="N23" s="6" t="s">
        <v>179</v>
      </c>
      <c r="O23" s="6" t="s">
        <v>180</v>
      </c>
      <c r="P23" s="37">
        <f t="shared" si="1"/>
        <v>2</v>
      </c>
      <c r="Q23" s="38">
        <v>2</v>
      </c>
      <c r="R23" s="37">
        <f t="shared" si="2"/>
        <v>0</v>
      </c>
      <c r="S23" s="38">
        <v>0</v>
      </c>
      <c r="T23" s="37">
        <f t="shared" si="3"/>
        <v>0</v>
      </c>
      <c r="U23" s="38">
        <v>0</v>
      </c>
      <c r="V23" s="39" t="str">
        <f t="shared" si="4"/>
        <v>按计划待验收</v>
      </c>
    </row>
    <row r="24" ht="66" customHeight="1" spans="1:22">
      <c r="A24" s="5" t="s">
        <v>181</v>
      </c>
      <c r="B24" s="5" t="s">
        <v>173</v>
      </c>
      <c r="C24" s="5" t="s">
        <v>174</v>
      </c>
      <c r="D24" s="6" t="s">
        <v>175</v>
      </c>
      <c r="E24" s="6" t="s">
        <v>182</v>
      </c>
      <c r="F24" s="5" t="s">
        <v>47</v>
      </c>
      <c r="G24" s="36"/>
      <c r="H24" s="36">
        <v>2</v>
      </c>
      <c r="I24" s="5" t="s">
        <v>86</v>
      </c>
      <c r="J24" s="5" t="s">
        <v>172</v>
      </c>
      <c r="K24" s="5" t="s">
        <v>72</v>
      </c>
      <c r="L24" s="5" t="s">
        <v>183</v>
      </c>
      <c r="M24" s="5" t="s">
        <v>52</v>
      </c>
      <c r="N24" s="6" t="s">
        <v>184</v>
      </c>
      <c r="O24" s="6" t="s">
        <v>185</v>
      </c>
      <c r="P24" s="37">
        <f t="shared" si="1"/>
        <v>2</v>
      </c>
      <c r="Q24" s="38">
        <v>2</v>
      </c>
      <c r="R24" s="37">
        <f t="shared" si="2"/>
        <v>0</v>
      </c>
      <c r="S24" s="38">
        <v>0</v>
      </c>
      <c r="T24" s="37">
        <f t="shared" si="3"/>
        <v>0</v>
      </c>
      <c r="U24" s="38">
        <v>0</v>
      </c>
      <c r="V24" s="39" t="str">
        <f t="shared" si="4"/>
        <v>按计划待验收</v>
      </c>
    </row>
    <row r="25" ht="66" customHeight="1" spans="1:22">
      <c r="A25" s="5" t="s">
        <v>186</v>
      </c>
      <c r="B25" s="34" t="s">
        <v>187</v>
      </c>
      <c r="C25" s="34" t="s">
        <v>188</v>
      </c>
      <c r="D25" s="35" t="s">
        <v>189</v>
      </c>
      <c r="E25" s="6" t="s">
        <v>190</v>
      </c>
      <c r="F25" s="5" t="s">
        <v>47</v>
      </c>
      <c r="G25" s="36">
        <v>2</v>
      </c>
      <c r="H25" s="36">
        <v>2</v>
      </c>
      <c r="I25" s="5" t="s">
        <v>86</v>
      </c>
      <c r="J25" s="5" t="s">
        <v>191</v>
      </c>
      <c r="K25" s="5" t="s">
        <v>72</v>
      </c>
      <c r="L25" s="5" t="s">
        <v>192</v>
      </c>
      <c r="M25" s="5" t="s">
        <v>52</v>
      </c>
      <c r="N25" s="6" t="s">
        <v>193</v>
      </c>
      <c r="O25" s="6" t="s">
        <v>194</v>
      </c>
      <c r="P25" s="37">
        <f t="shared" si="1"/>
        <v>2</v>
      </c>
      <c r="Q25" s="38">
        <v>2</v>
      </c>
      <c r="R25" s="37">
        <f t="shared" si="2"/>
        <v>0</v>
      </c>
      <c r="S25" s="38">
        <v>0</v>
      </c>
      <c r="T25" s="37">
        <f t="shared" si="3"/>
        <v>0</v>
      </c>
      <c r="U25" s="38">
        <v>0</v>
      </c>
      <c r="V25" s="39" t="str">
        <f t="shared" si="4"/>
        <v>按计划待验收</v>
      </c>
    </row>
    <row r="26" ht="66" customHeight="1" spans="1:22">
      <c r="A26" s="5" t="s">
        <v>195</v>
      </c>
      <c r="B26" s="5" t="s">
        <v>187</v>
      </c>
      <c r="C26" s="5" t="s">
        <v>188</v>
      </c>
      <c r="D26" s="6" t="s">
        <v>189</v>
      </c>
      <c r="E26" s="6" t="s">
        <v>196</v>
      </c>
      <c r="F26" s="5" t="s">
        <v>47</v>
      </c>
      <c r="G26" s="36"/>
      <c r="H26" s="36">
        <v>2</v>
      </c>
      <c r="I26" s="5" t="s">
        <v>86</v>
      </c>
      <c r="J26" s="5" t="s">
        <v>186</v>
      </c>
      <c r="K26" s="5" t="s">
        <v>66</v>
      </c>
      <c r="L26" s="5" t="s">
        <v>197</v>
      </c>
      <c r="M26" s="5" t="s">
        <v>52</v>
      </c>
      <c r="N26" s="6" t="s">
        <v>198</v>
      </c>
      <c r="O26" s="6" t="s">
        <v>199</v>
      </c>
      <c r="P26" s="37">
        <f t="shared" si="1"/>
        <v>2</v>
      </c>
      <c r="Q26" s="38">
        <v>2</v>
      </c>
      <c r="R26" s="37">
        <f t="shared" si="2"/>
        <v>0</v>
      </c>
      <c r="S26" s="38">
        <v>0</v>
      </c>
      <c r="T26" s="37">
        <f t="shared" si="3"/>
        <v>0</v>
      </c>
      <c r="U26" s="38">
        <v>0</v>
      </c>
      <c r="V26" s="39" t="str">
        <f t="shared" si="4"/>
        <v>按计划待验收</v>
      </c>
    </row>
    <row r="27" ht="66" customHeight="1" spans="1:22">
      <c r="A27" s="5" t="s">
        <v>200</v>
      </c>
      <c r="B27" s="34" t="s">
        <v>201</v>
      </c>
      <c r="C27" s="34" t="s">
        <v>202</v>
      </c>
      <c r="D27" s="35" t="s">
        <v>203</v>
      </c>
      <c r="E27" s="6" t="s">
        <v>204</v>
      </c>
      <c r="F27" s="5" t="s">
        <v>47</v>
      </c>
      <c r="G27" s="36">
        <v>5</v>
      </c>
      <c r="H27" s="36">
        <v>2</v>
      </c>
      <c r="I27" s="5" t="s">
        <v>48</v>
      </c>
      <c r="J27" s="5" t="s">
        <v>49</v>
      </c>
      <c r="K27" s="5" t="s">
        <v>72</v>
      </c>
      <c r="L27" s="5" t="s">
        <v>205</v>
      </c>
      <c r="M27" s="5" t="s">
        <v>52</v>
      </c>
      <c r="N27" s="6" t="s">
        <v>206</v>
      </c>
      <c r="O27" s="6" t="s">
        <v>207</v>
      </c>
      <c r="P27" s="37">
        <f t="shared" si="1"/>
        <v>0</v>
      </c>
      <c r="Q27" s="38">
        <v>0</v>
      </c>
      <c r="R27" s="37">
        <f t="shared" si="2"/>
        <v>0</v>
      </c>
      <c r="S27" s="38">
        <v>0</v>
      </c>
      <c r="T27" s="37">
        <f t="shared" si="3"/>
        <v>0</v>
      </c>
      <c r="U27" s="38">
        <v>0</v>
      </c>
      <c r="V27" s="39" t="str">
        <f t="shared" si="4"/>
        <v>按计划待验收</v>
      </c>
    </row>
    <row r="28" ht="66" customHeight="1" spans="1:22">
      <c r="A28" s="5" t="s">
        <v>208</v>
      </c>
      <c r="B28" s="5" t="s">
        <v>201</v>
      </c>
      <c r="C28" s="5" t="s">
        <v>202</v>
      </c>
      <c r="D28" s="6" t="s">
        <v>203</v>
      </c>
      <c r="E28" s="6" t="s">
        <v>209</v>
      </c>
      <c r="F28" s="5" t="s">
        <v>47</v>
      </c>
      <c r="G28" s="36"/>
      <c r="H28" s="36">
        <v>2</v>
      </c>
      <c r="I28" s="5" t="s">
        <v>86</v>
      </c>
      <c r="J28" s="5" t="s">
        <v>210</v>
      </c>
      <c r="K28" s="5" t="s">
        <v>50</v>
      </c>
      <c r="L28" s="5" t="s">
        <v>211</v>
      </c>
      <c r="M28" s="5" t="s">
        <v>52</v>
      </c>
      <c r="N28" s="6" t="s">
        <v>212</v>
      </c>
      <c r="O28" s="6" t="s">
        <v>213</v>
      </c>
      <c r="P28" s="37">
        <f t="shared" si="1"/>
        <v>2</v>
      </c>
      <c r="Q28" s="38">
        <v>2</v>
      </c>
      <c r="R28" s="37">
        <f t="shared" si="2"/>
        <v>0</v>
      </c>
      <c r="S28" s="38">
        <v>0</v>
      </c>
      <c r="T28" s="37">
        <f t="shared" si="3"/>
        <v>0</v>
      </c>
      <c r="U28" s="38">
        <v>0</v>
      </c>
      <c r="V28" s="39" t="str">
        <f t="shared" si="4"/>
        <v>按计划待验收</v>
      </c>
    </row>
  </sheetData>
  <mergeCells count="23">
    <mergeCell ref="P1:U1"/>
    <mergeCell ref="A1:A4"/>
    <mergeCell ref="B1:B4"/>
    <mergeCell ref="C1:C4"/>
    <mergeCell ref="D1:D4"/>
    <mergeCell ref="E1:E4"/>
    <mergeCell ref="F1:F4"/>
    <mergeCell ref="G1:G4"/>
    <mergeCell ref="H1:H4"/>
    <mergeCell ref="I1:I4"/>
    <mergeCell ref="J1:J4"/>
    <mergeCell ref="K1:K4"/>
    <mergeCell ref="L1:L4"/>
    <mergeCell ref="M1:M4"/>
    <mergeCell ref="N1:N4"/>
    <mergeCell ref="O1:O4"/>
    <mergeCell ref="P2:P4"/>
    <mergeCell ref="Q2:Q4"/>
    <mergeCell ref="R2:R4"/>
    <mergeCell ref="S2:S4"/>
    <mergeCell ref="T2:T4"/>
    <mergeCell ref="U2:U4"/>
    <mergeCell ref="V1:V4"/>
  </mergeCells>
  <conditionalFormatting sqref="M5:M28">
    <cfRule type="containsText" dxfId="0" priority="1" operator="between" text="已完成">
      <formula>NOT(ISERROR(SEARCH("已完成",M5)))</formula>
    </cfRule>
    <cfRule type="containsText" dxfId="1" priority="2" operator="between" text="阻塞">
      <formula>NOT(ISERROR(SEARCH("阻塞",M5)))</formula>
    </cfRule>
    <cfRule type="containsText" dxfId="2" priority="3" operator="between" text="进行中">
      <formula>NOT(ISERROR(SEARCH("进行中",M5)))</formula>
    </cfRule>
  </conditionalFormatting>
  <dataValidations count="6">
    <dataValidation type="list" sqref="F5:F28">
      <formula1>"Must,Should,Could"</formula1>
    </dataValidation>
    <dataValidation type="whole" operator="between" sqref="H5:H28">
      <formula1>1</formula1>
      <formula2>8</formula2>
    </dataValidation>
    <dataValidation type="list" sqref="I5:I28">
      <formula1>"Day1,Day2"</formula1>
    </dataValidation>
    <dataValidation type="list" sqref="K5:K28">
      <formula1>"陈梓元,王敬博,张琪,林粲涵"</formula1>
    </dataValidation>
    <dataValidation type="list" sqref="M5:M28">
      <formula1>"计划中,进行中,阻塞,待验收,已完成"</formula1>
    </dataValidation>
    <dataValidation type="whole" operator="between" sqref="Q5:Q28 S5:S28 U5:U28">
      <formula1>0</formula1>
      <formula2>2</formula2>
    </dataValidation>
  </dataValidations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7"/>
  <sheetViews>
    <sheetView showGridLines="0" workbookViewId="0">
      <selection activeCell="A1" sqref="A1:P1"/>
    </sheetView>
  </sheetViews>
  <sheetFormatPr defaultColWidth="9" defaultRowHeight="15"/>
  <cols>
    <col min="1" max="1" width="15" customWidth="1"/>
    <col min="2" max="2" width="12" customWidth="1"/>
    <col min="3" max="3" width="32" customWidth="1"/>
    <col min="4" max="4" width="12" customWidth="1"/>
    <col min="5" max="5" width="10" customWidth="1"/>
    <col min="6" max="8" width="11" customWidth="1"/>
    <col min="9" max="9" width="15" customWidth="1"/>
    <col min="10" max="10" width="30" customWidth="1"/>
    <col min="11" max="16" width="11" customWidth="1"/>
  </cols>
  <sheetData>
    <row r="1" ht="30" customHeight="1" spans="1:16">
      <c r="A1" s="1" t="s">
        <v>214</v>
      </c>
      <c r="B1" s="1" t="s">
        <v>214</v>
      </c>
      <c r="C1" s="1" t="s">
        <v>214</v>
      </c>
      <c r="D1" s="1" t="s">
        <v>214</v>
      </c>
      <c r="E1" s="1" t="s">
        <v>214</v>
      </c>
      <c r="F1" s="1" t="s">
        <v>214</v>
      </c>
      <c r="G1" s="1" t="s">
        <v>214</v>
      </c>
      <c r="H1" s="1" t="s">
        <v>214</v>
      </c>
      <c r="I1" s="1" t="s">
        <v>214</v>
      </c>
      <c r="J1" s="1" t="s">
        <v>214</v>
      </c>
      <c r="K1" s="1" t="s">
        <v>214</v>
      </c>
      <c r="L1" s="1" t="s">
        <v>214</v>
      </c>
      <c r="M1" s="1" t="s">
        <v>214</v>
      </c>
      <c r="N1" s="1" t="s">
        <v>214</v>
      </c>
      <c r="O1" s="1" t="s">
        <v>214</v>
      </c>
      <c r="P1" s="1" t="s">
        <v>214</v>
      </c>
    </row>
    <row r="2" ht="24" customHeight="1" spans="1:16">
      <c r="A2" s="2" t="s">
        <v>215</v>
      </c>
      <c r="B2" s="2" t="s">
        <v>215</v>
      </c>
      <c r="C2" s="2" t="s">
        <v>215</v>
      </c>
      <c r="D2" s="2" t="s">
        <v>215</v>
      </c>
      <c r="E2" s="2" t="s">
        <v>215</v>
      </c>
      <c r="F2" s="2" t="s">
        <v>215</v>
      </c>
      <c r="G2" s="2" t="s">
        <v>215</v>
      </c>
      <c r="H2" s="2" t="s">
        <v>215</v>
      </c>
      <c r="I2" s="2" t="s">
        <v>215</v>
      </c>
      <c r="J2" s="2" t="s">
        <v>215</v>
      </c>
      <c r="K2" s="2" t="s">
        <v>215</v>
      </c>
      <c r="L2" s="2" t="s">
        <v>215</v>
      </c>
      <c r="M2" s="2" t="s">
        <v>215</v>
      </c>
      <c r="N2" s="2" t="s">
        <v>215</v>
      </c>
      <c r="O2" s="2" t="s">
        <v>215</v>
      </c>
      <c r="P2" s="2" t="s">
        <v>215</v>
      </c>
    </row>
    <row r="3" ht="24" customHeight="1" spans="1:16">
      <c r="A3" s="3" t="s">
        <v>216</v>
      </c>
      <c r="B3" s="3" t="s">
        <v>216</v>
      </c>
      <c r="C3" s="3" t="s">
        <v>216</v>
      </c>
      <c r="D3" s="3" t="s">
        <v>216</v>
      </c>
      <c r="E3" s="3" t="s">
        <v>216</v>
      </c>
      <c r="F3" s="3" t="s">
        <v>216</v>
      </c>
      <c r="G3" s="3" t="s">
        <v>216</v>
      </c>
      <c r="H3" s="3" t="s">
        <v>216</v>
      </c>
      <c r="I3" s="3" t="s">
        <v>216</v>
      </c>
      <c r="J3" s="3" t="s">
        <v>216</v>
      </c>
      <c r="K3" s="3" t="s">
        <v>216</v>
      </c>
      <c r="L3" s="3" t="s">
        <v>216</v>
      </c>
      <c r="M3" s="3" t="s">
        <v>216</v>
      </c>
      <c r="N3" s="3" t="s">
        <v>216</v>
      </c>
      <c r="O3" s="3" t="s">
        <v>216</v>
      </c>
      <c r="P3" s="3" t="s">
        <v>216</v>
      </c>
    </row>
    <row r="4" ht="24" customHeight="1" spans="1:16">
      <c r="A4" s="11" t="s">
        <v>217</v>
      </c>
      <c r="B4" s="11" t="s">
        <v>218</v>
      </c>
      <c r="C4" s="12" t="s">
        <v>219</v>
      </c>
      <c r="D4" s="12" t="s">
        <v>219</v>
      </c>
      <c r="E4" s="12" t="s">
        <v>219</v>
      </c>
      <c r="F4" s="12" t="s">
        <v>219</v>
      </c>
      <c r="G4" s="12" t="s">
        <v>219</v>
      </c>
      <c r="H4" s="12" t="s">
        <v>219</v>
      </c>
      <c r="I4" s="12" t="s">
        <v>219</v>
      </c>
      <c r="J4" s="12" t="s">
        <v>219</v>
      </c>
      <c r="K4" s="12" t="s">
        <v>219</v>
      </c>
      <c r="L4" s="12" t="s">
        <v>219</v>
      </c>
      <c r="M4" s="12" t="s">
        <v>219</v>
      </c>
      <c r="N4" s="12" t="s">
        <v>219</v>
      </c>
      <c r="O4" s="12" t="s">
        <v>219</v>
      </c>
      <c r="P4" s="12" t="s">
        <v>219</v>
      </c>
    </row>
    <row r="6" spans="1:16">
      <c r="A6" s="4" t="s">
        <v>220</v>
      </c>
      <c r="B6" s="4" t="s">
        <v>221</v>
      </c>
      <c r="C6" s="4" t="s">
        <v>222</v>
      </c>
    </row>
    <row r="7" ht="17.1" spans="1:16">
      <c r="A7" s="6" t="s">
        <v>223</v>
      </c>
      <c r="B7" s="13">
        <f>SUM(SprintBacklog模板!$H$5:$H$28)</f>
        <v>48</v>
      </c>
      <c r="C7" s="6" t="s">
        <v>224</v>
      </c>
    </row>
    <row r="8" ht="17.1" spans="1:16">
      <c r="A8" s="6" t="s">
        <v>225</v>
      </c>
      <c r="B8" s="13">
        <f>COUNTA(SprintBacklog模板!$A$5:$A$28)</f>
        <v>24</v>
      </c>
      <c r="C8" s="6" t="s">
        <v>226</v>
      </c>
    </row>
    <row r="9" ht="17.1" spans="1:16">
      <c r="A9" s="6" t="s">
        <v>227</v>
      </c>
      <c r="B9" s="13">
        <f>COUNTA(PBI追溯!$A$6:$A$17)</f>
        <v>12</v>
      </c>
      <c r="C9" s="6" t="s">
        <v>228</v>
      </c>
    </row>
    <row r="10" ht="25.7" spans="1:16">
      <c r="A10" s="6" t="s">
        <v>229</v>
      </c>
      <c r="B10" s="13">
        <v>0</v>
      </c>
      <c r="C10" s="6" t="s">
        <v>230</v>
      </c>
    </row>
    <row r="13" ht="28" customHeight="1" spans="1:16">
      <c r="A13" s="4" t="s">
        <v>231</v>
      </c>
      <c r="B13" s="4" t="s">
        <v>232</v>
      </c>
      <c r="C13" s="4" t="s">
        <v>225</v>
      </c>
      <c r="D13" s="4" t="s">
        <v>233</v>
      </c>
      <c r="E13" s="4" t="s">
        <v>234</v>
      </c>
      <c r="F13" s="4" t="s">
        <v>235</v>
      </c>
      <c r="G13" s="4" t="s">
        <v>236</v>
      </c>
      <c r="H13" s="4" t="s">
        <v>237</v>
      </c>
      <c r="I13" s="4" t="s">
        <v>238</v>
      </c>
      <c r="J13" s="4" t="s">
        <v>239</v>
      </c>
    </row>
    <row r="14" ht="28" customHeight="1" spans="1:16">
      <c r="A14" s="5" t="s">
        <v>50</v>
      </c>
      <c r="B14" s="5">
        <v>12</v>
      </c>
      <c r="C14" s="5">
        <f>COUNTIF(SprintBacklog模板!$K$5:$K$28,A14)</f>
        <v>6</v>
      </c>
      <c r="D14" s="5">
        <f>SUMIF(SprintBacklog模板!$K$5:$K$28,A14,SprintBacklog模板!$H$5:$H$28)</f>
        <v>12</v>
      </c>
      <c r="E14" s="5">
        <f>D14-B14</f>
        <v>0</v>
      </c>
      <c r="F14" s="5">
        <f>SUMIFS(SprintBacklog模板!$H$5:$H$28,SprintBacklog模板!$K$5:$K$28,A14,SprintBacklog模板!$I$5:$I$28,"Day1")</f>
        <v>6</v>
      </c>
      <c r="G14" s="5">
        <f>SUMIFS(SprintBacklog模板!$H$5:$H$28,SprintBacklog模板!$K$5:$K$28,A14,SprintBacklog模板!$I$5:$I$28,"Day2")</f>
        <v>6</v>
      </c>
      <c r="H14" s="5" t="str">
        <f>IF(E14=0,"平衡","需调整")</f>
        <v>平衡</v>
      </c>
      <c r="I14" s="6" t="s">
        <v>240</v>
      </c>
      <c r="J14" s="6" t="s">
        <v>241</v>
      </c>
    </row>
    <row r="15" ht="28" customHeight="1" spans="1:16">
      <c r="A15" s="5" t="s">
        <v>72</v>
      </c>
      <c r="B15" s="5">
        <v>12</v>
      </c>
      <c r="C15" s="5">
        <f>COUNTIF(SprintBacklog模板!$K$5:$K$28,A15)</f>
        <v>6</v>
      </c>
      <c r="D15" s="5">
        <f>SUMIF(SprintBacklog模板!$K$5:$K$28,A15,SprintBacklog模板!$H$5:$H$28)</f>
        <v>12</v>
      </c>
      <c r="E15" s="5">
        <f>D15-B15</f>
        <v>0</v>
      </c>
      <c r="F15" s="5">
        <f>SUMIFS(SprintBacklog模板!$H$5:$H$28,SprintBacklog模板!$K$5:$K$28,A15,SprintBacklog模板!$I$5:$I$28,"Day1")</f>
        <v>6</v>
      </c>
      <c r="G15" s="5">
        <f>SUMIFS(SprintBacklog模板!$H$5:$H$28,SprintBacklog模板!$K$5:$K$28,A15,SprintBacklog模板!$I$5:$I$28,"Day2")</f>
        <v>6</v>
      </c>
      <c r="H15" s="5" t="str">
        <f>IF(E15=0,"平衡","需调整")</f>
        <v>平衡</v>
      </c>
      <c r="I15" s="6" t="s">
        <v>242</v>
      </c>
      <c r="J15" s="6" t="s">
        <v>243</v>
      </c>
    </row>
    <row r="16" ht="28" customHeight="1" spans="1:16">
      <c r="A16" s="5" t="s">
        <v>57</v>
      </c>
      <c r="B16" s="5">
        <v>12</v>
      </c>
      <c r="C16" s="5">
        <f>COUNTIF(SprintBacklog模板!$K$5:$K$28,A16)</f>
        <v>6</v>
      </c>
      <c r="D16" s="5">
        <f>SUMIF(SprintBacklog模板!$K$5:$K$28,A16,SprintBacklog模板!$H$5:$H$28)</f>
        <v>12</v>
      </c>
      <c r="E16" s="5">
        <f>D16-B16</f>
        <v>0</v>
      </c>
      <c r="F16" s="5">
        <f>SUMIFS(SprintBacklog模板!$H$5:$H$28,SprintBacklog模板!$K$5:$K$28,A16,SprintBacklog模板!$I$5:$I$28,"Day1")</f>
        <v>6</v>
      </c>
      <c r="G16" s="5">
        <f>SUMIFS(SprintBacklog模板!$H$5:$H$28,SprintBacklog模板!$K$5:$K$28,A16,SprintBacklog模板!$I$5:$I$28,"Day2")</f>
        <v>6</v>
      </c>
      <c r="H16" s="5" t="str">
        <f>IF(E16=0,"平衡","需调整")</f>
        <v>平衡</v>
      </c>
      <c r="I16" s="6" t="s">
        <v>244</v>
      </c>
      <c r="J16" s="6" t="s">
        <v>245</v>
      </c>
    </row>
    <row r="17" ht="28" customHeight="1" spans="1:10">
      <c r="A17" s="5" t="s">
        <v>66</v>
      </c>
      <c r="B17" s="5">
        <v>12</v>
      </c>
      <c r="C17" s="5">
        <f>COUNTIF(SprintBacklog模板!$K$5:$K$28,A17)</f>
        <v>6</v>
      </c>
      <c r="D17" s="5">
        <f>SUMIF(SprintBacklog模板!$K$5:$K$28,A17,SprintBacklog模板!$H$5:$H$28)</f>
        <v>12</v>
      </c>
      <c r="E17" s="5">
        <f>D17-B17</f>
        <v>0</v>
      </c>
      <c r="F17" s="5">
        <f>SUMIFS(SprintBacklog模板!$H$5:$H$28,SprintBacklog模板!$K$5:$K$28,A17,SprintBacklog模板!$I$5:$I$28,"Day1")</f>
        <v>6</v>
      </c>
      <c r="G17" s="5">
        <f>SUMIFS(SprintBacklog模板!$H$5:$H$28,SprintBacklog模板!$K$5:$K$28,A17,SprintBacklog模板!$I$5:$I$28,"Day2")</f>
        <v>6</v>
      </c>
      <c r="H17" s="5" t="str">
        <f>IF(E17=0,"平衡","需调整")</f>
        <v>平衡</v>
      </c>
      <c r="I17" s="6" t="s">
        <v>244</v>
      </c>
      <c r="J17" s="6" t="s">
        <v>246</v>
      </c>
    </row>
    <row r="18" ht="28" customHeight="1" spans="1:10">
      <c r="A18" s="14" t="s">
        <v>247</v>
      </c>
      <c r="B18" s="14">
        <f t="shared" ref="B18:G18" si="0">SUM(B14:B17)</f>
        <v>48</v>
      </c>
      <c r="C18" s="14">
        <f t="shared" si="0"/>
        <v>24</v>
      </c>
      <c r="D18" s="14">
        <f t="shared" si="0"/>
        <v>48</v>
      </c>
      <c r="E18" s="14">
        <f t="shared" si="0"/>
        <v>0</v>
      </c>
      <c r="F18" s="14">
        <f t="shared" si="0"/>
        <v>24</v>
      </c>
      <c r="G18" s="14">
        <f t="shared" si="0"/>
        <v>24</v>
      </c>
      <c r="H18" s="14" t="str">
        <f>IF(E18=0,"平衡","需调整")</f>
        <v>平衡</v>
      </c>
      <c r="I18" s="15" t="s">
        <v>248</v>
      </c>
      <c r="J18" s="15" t="s">
        <v>249</v>
      </c>
    </row>
    <row r="21" spans="1:10">
      <c r="A21" s="16" t="s">
        <v>250</v>
      </c>
      <c r="B21" s="16" t="s">
        <v>251</v>
      </c>
      <c r="C21" s="16" t="s">
        <v>252</v>
      </c>
      <c r="D21" s="16" t="s">
        <v>234</v>
      </c>
      <c r="E21" s="16" t="s">
        <v>253</v>
      </c>
      <c r="F21" s="16" t="s">
        <v>254</v>
      </c>
      <c r="G21" s="16" t="s">
        <v>255</v>
      </c>
    </row>
    <row r="22" spans="1:10">
      <c r="A22" s="17" t="s">
        <v>256</v>
      </c>
      <c r="B22" s="18">
        <v>48</v>
      </c>
      <c r="C22" s="18">
        <v>48</v>
      </c>
      <c r="D22" s="18">
        <f>C22-B22</f>
        <v>0</v>
      </c>
      <c r="E22" s="19">
        <f>1-B22/$B$22</f>
        <v>0</v>
      </c>
      <c r="F22" s="19">
        <f>1-C22/$C$22</f>
        <v>0</v>
      </c>
      <c r="G22" s="20" t="str">
        <f>IF($B$4="计划基线","基线",IF(C22=0,"完成",IF(D22&lt;=0,"正常","偏离")))</f>
        <v>基线</v>
      </c>
    </row>
    <row r="23" spans="1:10">
      <c r="A23" s="17" t="s">
        <v>48</v>
      </c>
      <c r="B23" s="18">
        <f>SUM(SprintBacklog模板!$P$5:$P$28)</f>
        <v>24</v>
      </c>
      <c r="C23" s="18">
        <f>SUM(SprintBacklog模板!$Q$5:$Q$28)</f>
        <v>24</v>
      </c>
      <c r="D23" s="18">
        <f>C23-B23</f>
        <v>0</v>
      </c>
      <c r="E23" s="19">
        <f>1-B23/$B$22</f>
        <v>0.5</v>
      </c>
      <c r="F23" s="19">
        <f>1-C23/$C$22</f>
        <v>0.5</v>
      </c>
      <c r="G23" s="20" t="str">
        <f>IF($B$4="计划基线","基线",IF(C23=0,"完成",IF(D23&lt;=0,"正常","偏离")))</f>
        <v>基线</v>
      </c>
    </row>
    <row r="24" spans="1:10">
      <c r="A24" s="17" t="s">
        <v>86</v>
      </c>
      <c r="B24" s="18">
        <f>SUM(SprintBacklog模板!$R$5:$R$28)</f>
        <v>0</v>
      </c>
      <c r="C24" s="18">
        <f>SUM(SprintBacklog模板!$S$5:$S$28)</f>
        <v>0</v>
      </c>
      <c r="D24" s="18">
        <f>C24-B24</f>
        <v>0</v>
      </c>
      <c r="E24" s="19">
        <f>1-B24/$B$22</f>
        <v>1</v>
      </c>
      <c r="F24" s="19">
        <f>1-C24/$C$22</f>
        <v>1</v>
      </c>
      <c r="G24" s="20" t="str">
        <f>IF($B$4="计划基线","基线",IF(C24=0,"完成",IF(D24&lt;=0,"正常","偏离")))</f>
        <v>基线</v>
      </c>
    </row>
    <row r="25" spans="1:10">
      <c r="A25" s="17" t="s">
        <v>257</v>
      </c>
      <c r="B25" s="18">
        <f>SUM(SprintBacklog模板!$T$5:$T$28)</f>
        <v>0</v>
      </c>
      <c r="C25" s="18">
        <f>SUM(SprintBacklog模板!$U$5:$U$28)</f>
        <v>0</v>
      </c>
      <c r="D25" s="18">
        <f>C25-B25</f>
        <v>0</v>
      </c>
      <c r="E25" s="19">
        <f>1-B25/$B$22</f>
        <v>1</v>
      </c>
      <c r="F25" s="19">
        <f>1-C25/$C$22</f>
        <v>1</v>
      </c>
      <c r="G25" s="20" t="str">
        <f>IF($B$4="计划基线","基线",IF(C25=0,"完成",IF(D25&lt;=0,"正常","偏离")))</f>
        <v>基线</v>
      </c>
    </row>
    <row r="29" ht="34" customHeight="1" spans="1:10">
      <c r="A29" s="21" t="s">
        <v>258</v>
      </c>
      <c r="B29" s="21" t="s">
        <v>259</v>
      </c>
      <c r="C29" s="21" t="s">
        <v>260</v>
      </c>
      <c r="D29" s="21" t="s">
        <v>261</v>
      </c>
    </row>
    <row r="30" ht="34" customHeight="1" spans="1:10">
      <c r="A30" s="6" t="s">
        <v>262</v>
      </c>
      <c r="B30" s="6" t="s">
        <v>263</v>
      </c>
      <c r="C30" s="6" t="s">
        <v>264</v>
      </c>
      <c r="D30" s="6" t="s">
        <v>265</v>
      </c>
    </row>
    <row r="31" ht="34" customHeight="1" spans="1:10">
      <c r="A31" s="6" t="s">
        <v>266</v>
      </c>
      <c r="B31" s="6" t="s">
        <v>267</v>
      </c>
      <c r="C31" s="6" t="s">
        <v>268</v>
      </c>
      <c r="D31" s="6" t="s">
        <v>269</v>
      </c>
    </row>
    <row r="32" ht="34" customHeight="1" spans="1:10">
      <c r="A32" s="6" t="s">
        <v>270</v>
      </c>
      <c r="B32" s="6" t="s">
        <v>271</v>
      </c>
      <c r="C32" s="6" t="s">
        <v>272</v>
      </c>
      <c r="D32" s="6" t="s">
        <v>273</v>
      </c>
    </row>
    <row r="33" ht="34" customHeight="1" spans="1:16">
      <c r="A33" s="6" t="s">
        <v>274</v>
      </c>
      <c r="B33" s="6" t="s">
        <v>275</v>
      </c>
      <c r="C33" s="6" t="s">
        <v>276</v>
      </c>
      <c r="D33" s="6" t="s">
        <v>277</v>
      </c>
    </row>
    <row r="34" ht="34" customHeight="1" spans="1:16">
      <c r="A34" s="6" t="s">
        <v>278</v>
      </c>
      <c r="B34" s="6" t="s">
        <v>279</v>
      </c>
      <c r="C34" s="6" t="s">
        <v>280</v>
      </c>
      <c r="D34" s="6" t="s">
        <v>281</v>
      </c>
    </row>
    <row r="36" ht="30" customHeight="1" spans="1:16">
      <c r="A36" s="22" t="s">
        <v>282</v>
      </c>
      <c r="B36" s="23" t="s">
        <v>282</v>
      </c>
      <c r="C36" s="23" t="s">
        <v>282</v>
      </c>
      <c r="D36" s="23" t="s">
        <v>282</v>
      </c>
      <c r="E36" s="23" t="s">
        <v>282</v>
      </c>
      <c r="F36" s="23" t="s">
        <v>282</v>
      </c>
      <c r="G36" s="23" t="s">
        <v>282</v>
      </c>
      <c r="H36" s="23" t="s">
        <v>282</v>
      </c>
      <c r="I36" s="23" t="s">
        <v>282</v>
      </c>
      <c r="J36" s="23" t="s">
        <v>282</v>
      </c>
      <c r="K36" s="23" t="s">
        <v>282</v>
      </c>
      <c r="L36" s="23" t="s">
        <v>282</v>
      </c>
      <c r="M36" s="23" t="s">
        <v>282</v>
      </c>
      <c r="N36" s="23" t="s">
        <v>282</v>
      </c>
      <c r="O36" s="23" t="s">
        <v>282</v>
      </c>
      <c r="P36" s="24" t="s">
        <v>282</v>
      </c>
    </row>
    <row r="37" ht="30" customHeight="1" spans="1:16">
      <c r="A37" s="25" t="s">
        <v>282</v>
      </c>
      <c r="B37" s="26" t="s">
        <v>282</v>
      </c>
      <c r="C37" s="26" t="s">
        <v>282</v>
      </c>
      <c r="D37" s="26" t="s">
        <v>282</v>
      </c>
      <c r="E37" s="26" t="s">
        <v>282</v>
      </c>
      <c r="F37" s="26" t="s">
        <v>282</v>
      </c>
      <c r="G37" s="26" t="s">
        <v>282</v>
      </c>
      <c r="H37" s="26" t="s">
        <v>282</v>
      </c>
      <c r="I37" s="26" t="s">
        <v>282</v>
      </c>
      <c r="J37" s="26" t="s">
        <v>282</v>
      </c>
      <c r="K37" s="26" t="s">
        <v>282</v>
      </c>
      <c r="L37" s="26" t="s">
        <v>282</v>
      </c>
      <c r="M37" s="26" t="s">
        <v>282</v>
      </c>
      <c r="N37" s="26" t="s">
        <v>282</v>
      </c>
      <c r="O37" s="26" t="s">
        <v>282</v>
      </c>
      <c r="P37" s="27" t="s">
        <v>282</v>
      </c>
    </row>
  </sheetData>
  <mergeCells count="5">
    <mergeCell ref="A1:P1"/>
    <mergeCell ref="A2:P2"/>
    <mergeCell ref="A3:P3"/>
    <mergeCell ref="C4:P4"/>
    <mergeCell ref="A36:P37"/>
  </mergeCells>
  <conditionalFormatting sqref="G22:G25">
    <cfRule type="containsText" dxfId="0" priority="3" operator="between" text="正常">
      <formula>NOT(ISERROR(SEARCH("正常",G22)))</formula>
    </cfRule>
    <cfRule type="containsText" dxfId="1" priority="4" operator="between" text="偏离">
      <formula>NOT(ISERROR(SEARCH("偏离",G22)))</formula>
    </cfRule>
  </conditionalFormatting>
  <conditionalFormatting sqref="H14:H18">
    <cfRule type="containsText" dxfId="0" priority="1" operator="between" text="平衡">
      <formula>NOT(ISERROR(SEARCH("平衡",H14)))</formula>
    </cfRule>
    <cfRule type="containsText" dxfId="1" priority="2" operator="between" text="需调整">
      <formula>NOT(ISERROR(SEARCH("需调整",H14)))</formula>
    </cfRule>
  </conditionalFormatting>
  <dataValidations count="1">
    <dataValidation type="list" sqref="B4">
      <formula1>"计划基线,执行中,已结束"</formula1>
    </dataValidation>
  </dataValidations>
  <pageMargins left="0.7" right="0.7" top="0.75" bottom="0.75" header="0.3" footer="0.3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showGridLines="0" tabSelected="1" workbookViewId="0">
      <selection activeCell="A1" sqref="A1:J1"/>
    </sheetView>
  </sheetViews>
  <sheetFormatPr defaultColWidth="9" defaultRowHeight="15"/>
  <cols>
    <col min="1" max="2" width="13" customWidth="1"/>
    <col min="3" max="3" width="28" customWidth="1"/>
    <col min="4" max="4" width="11" customWidth="1"/>
    <col min="5" max="5" width="9" customWidth="1"/>
    <col min="6" max="6" width="68" customWidth="1"/>
    <col min="7" max="7" width="9" customWidth="1"/>
    <col min="8" max="9" width="10" customWidth="1"/>
    <col min="10" max="10" width="22" customWidth="1"/>
  </cols>
  <sheetData>
    <row r="1" ht="23.55" spans="1:10">
      <c r="A1" s="1" t="s">
        <v>283</v>
      </c>
      <c r="B1" s="1" t="s">
        <v>283</v>
      </c>
      <c r="C1" s="1" t="s">
        <v>283</v>
      </c>
      <c r="D1" s="1" t="s">
        <v>283</v>
      </c>
      <c r="E1" s="1" t="s">
        <v>283</v>
      </c>
      <c r="F1" s="1" t="s">
        <v>283</v>
      </c>
      <c r="G1" s="1" t="s">
        <v>283</v>
      </c>
      <c r="H1" s="1" t="s">
        <v>283</v>
      </c>
      <c r="I1" s="1" t="s">
        <v>283</v>
      </c>
      <c r="J1" s="1" t="s">
        <v>283</v>
      </c>
    </row>
    <row r="2" ht="15.4" spans="1:10">
      <c r="A2" s="2" t="s">
        <v>215</v>
      </c>
      <c r="B2" s="2" t="s">
        <v>215</v>
      </c>
      <c r="C2" s="2" t="s">
        <v>215</v>
      </c>
      <c r="D2" s="2" t="s">
        <v>215</v>
      </c>
      <c r="E2" s="2" t="s">
        <v>215</v>
      </c>
      <c r="F2" s="2" t="s">
        <v>215</v>
      </c>
      <c r="G2" s="2" t="s">
        <v>215</v>
      </c>
      <c r="H2" s="2" t="s">
        <v>215</v>
      </c>
      <c r="I2" s="2" t="s">
        <v>215</v>
      </c>
      <c r="J2" s="2" t="s">
        <v>215</v>
      </c>
    </row>
    <row r="3" spans="1:10">
      <c r="A3" s="3" t="s">
        <v>284</v>
      </c>
      <c r="B3" s="3" t="s">
        <v>284</v>
      </c>
      <c r="C3" s="3" t="s">
        <v>284</v>
      </c>
      <c r="D3" s="3" t="s">
        <v>284</v>
      </c>
      <c r="E3" s="3" t="s">
        <v>284</v>
      </c>
      <c r="F3" s="3" t="s">
        <v>284</v>
      </c>
      <c r="G3" s="3" t="s">
        <v>284</v>
      </c>
      <c r="H3" s="3" t="s">
        <v>284</v>
      </c>
      <c r="I3" s="3" t="s">
        <v>284</v>
      </c>
      <c r="J3" s="3" t="s">
        <v>284</v>
      </c>
    </row>
    <row r="5" spans="1:10">
      <c r="A5" s="4" t="s">
        <v>20</v>
      </c>
      <c r="B5" s="4" t="s">
        <v>21</v>
      </c>
      <c r="C5" s="4" t="s">
        <v>285</v>
      </c>
      <c r="D5" s="4" t="s">
        <v>286</v>
      </c>
      <c r="E5" s="4" t="s">
        <v>287</v>
      </c>
      <c r="F5" s="4" t="s">
        <v>288</v>
      </c>
      <c r="G5" s="4" t="s">
        <v>225</v>
      </c>
      <c r="H5" s="4" t="s">
        <v>289</v>
      </c>
      <c r="I5" s="4" t="s">
        <v>290</v>
      </c>
      <c r="J5" s="4" t="s">
        <v>291</v>
      </c>
    </row>
    <row r="6" ht="68" customHeight="1" spans="1:10">
      <c r="A6" s="5" t="s">
        <v>43</v>
      </c>
      <c r="B6" s="5" t="s">
        <v>44</v>
      </c>
      <c r="C6" s="5" t="s">
        <v>45</v>
      </c>
      <c r="D6" s="5" t="s">
        <v>50</v>
      </c>
      <c r="E6" s="5">
        <v>3</v>
      </c>
      <c r="F6" s="6" t="s">
        <v>292</v>
      </c>
      <c r="G6" s="5">
        <f>COUNTIF(SprintBacklog模板!$B$5:$B$28,A6)</f>
        <v>2</v>
      </c>
      <c r="H6" s="5">
        <f>SUMIF(SprintBacklog模板!$B$5:$B$28,A6,SprintBacklog模板!$H$5:$H$28)</f>
        <v>4</v>
      </c>
      <c r="I6" s="5" t="str">
        <f t="shared" ref="I6:I17" si="0">IF(G6&gt;0,"已覆盖","缺口")</f>
        <v>已覆盖</v>
      </c>
      <c r="J6" s="5" t="s">
        <v>293</v>
      </c>
    </row>
    <row r="7" ht="68" customHeight="1" spans="1:10">
      <c r="A7" s="5" t="s">
        <v>62</v>
      </c>
      <c r="B7" s="5" t="s">
        <v>63</v>
      </c>
      <c r="C7" s="5" t="s">
        <v>64</v>
      </c>
      <c r="D7" s="5" t="s">
        <v>66</v>
      </c>
      <c r="E7" s="5">
        <v>3</v>
      </c>
      <c r="F7" s="6" t="s">
        <v>294</v>
      </c>
      <c r="G7" s="5">
        <f>COUNTIF(SprintBacklog模板!$B$5:$B$28,A7)</f>
        <v>2</v>
      </c>
      <c r="H7" s="5">
        <f>SUMIF(SprintBacklog模板!$B$5:$B$28,A7,SprintBacklog模板!$H$5:$H$28)</f>
        <v>4</v>
      </c>
      <c r="I7" s="5" t="str">
        <f t="shared" si="0"/>
        <v>已覆盖</v>
      </c>
      <c r="J7" s="5" t="s">
        <v>295</v>
      </c>
    </row>
    <row r="8" ht="68" customHeight="1" spans="1:10">
      <c r="A8" s="5" t="s">
        <v>77</v>
      </c>
      <c r="B8" s="5" t="s">
        <v>78</v>
      </c>
      <c r="C8" s="5" t="s">
        <v>79</v>
      </c>
      <c r="D8" s="5" t="s">
        <v>57</v>
      </c>
      <c r="E8" s="5">
        <v>5</v>
      </c>
      <c r="F8" s="6" t="s">
        <v>296</v>
      </c>
      <c r="G8" s="5">
        <f>COUNTIF(SprintBacklog模板!$B$5:$B$28,A8)</f>
        <v>2</v>
      </c>
      <c r="H8" s="5">
        <f>SUMIF(SprintBacklog模板!$B$5:$B$28,A8,SprintBacklog模板!$H$5:$H$28)</f>
        <v>4</v>
      </c>
      <c r="I8" s="5" t="str">
        <f t="shared" si="0"/>
        <v>已覆盖</v>
      </c>
      <c r="J8" s="5" t="s">
        <v>297</v>
      </c>
    </row>
    <row r="9" ht="68" customHeight="1" spans="1:10">
      <c r="A9" s="5" t="s">
        <v>91</v>
      </c>
      <c r="B9" s="5" t="s">
        <v>92</v>
      </c>
      <c r="C9" s="5" t="s">
        <v>93</v>
      </c>
      <c r="D9" s="5" t="s">
        <v>50</v>
      </c>
      <c r="E9" s="5">
        <v>5</v>
      </c>
      <c r="F9" s="6" t="s">
        <v>298</v>
      </c>
      <c r="G9" s="5">
        <f>COUNTIF(SprintBacklog模板!$B$5:$B$28,A9)</f>
        <v>2</v>
      </c>
      <c r="H9" s="5">
        <f>SUMIF(SprintBacklog模板!$B$5:$B$28,A9,SprintBacklog模板!$H$5:$H$28)</f>
        <v>4</v>
      </c>
      <c r="I9" s="5" t="str">
        <f t="shared" si="0"/>
        <v>已覆盖</v>
      </c>
      <c r="J9" s="5" t="s">
        <v>299</v>
      </c>
    </row>
    <row r="10" ht="68" customHeight="1" spans="1:10">
      <c r="A10" s="5" t="s">
        <v>104</v>
      </c>
      <c r="B10" s="5" t="s">
        <v>105</v>
      </c>
      <c r="C10" s="5" t="s">
        <v>106</v>
      </c>
      <c r="D10" s="5" t="s">
        <v>66</v>
      </c>
      <c r="E10" s="5">
        <v>5</v>
      </c>
      <c r="F10" s="6" t="s">
        <v>300</v>
      </c>
      <c r="G10" s="5">
        <f>COUNTIF(SprintBacklog模板!$B$5:$B$28,A10)</f>
        <v>2</v>
      </c>
      <c r="H10" s="5">
        <f>SUMIF(SprintBacklog模板!$B$5:$B$28,A10,SprintBacklog模板!$H$5:$H$28)</f>
        <v>4</v>
      </c>
      <c r="I10" s="5" t="str">
        <f t="shared" si="0"/>
        <v>已覆盖</v>
      </c>
      <c r="J10" s="5" t="s">
        <v>301</v>
      </c>
    </row>
    <row r="11" ht="68" customHeight="1" spans="1:10">
      <c r="A11" s="5" t="s">
        <v>118</v>
      </c>
      <c r="B11" s="5" t="s">
        <v>119</v>
      </c>
      <c r="C11" s="5" t="s">
        <v>120</v>
      </c>
      <c r="D11" s="5" t="s">
        <v>66</v>
      </c>
      <c r="E11" s="5">
        <v>5</v>
      </c>
      <c r="F11" s="6" t="s">
        <v>302</v>
      </c>
      <c r="G11" s="5">
        <f>COUNTIF(SprintBacklog模板!$B$5:$B$28,A11)</f>
        <v>2</v>
      </c>
      <c r="H11" s="5">
        <f>SUMIF(SprintBacklog模板!$B$5:$B$28,A11,SprintBacklog模板!$H$5:$H$28)</f>
        <v>4</v>
      </c>
      <c r="I11" s="5" t="str">
        <f t="shared" si="0"/>
        <v>已覆盖</v>
      </c>
      <c r="J11" s="5" t="s">
        <v>303</v>
      </c>
    </row>
    <row r="12" ht="68" customHeight="1" spans="1:10">
      <c r="A12" s="5" t="s">
        <v>132</v>
      </c>
      <c r="B12" s="5" t="s">
        <v>133</v>
      </c>
      <c r="C12" s="5" t="s">
        <v>134</v>
      </c>
      <c r="D12" s="5" t="s">
        <v>57</v>
      </c>
      <c r="E12" s="5">
        <v>3</v>
      </c>
      <c r="F12" s="6" t="s">
        <v>304</v>
      </c>
      <c r="G12" s="5">
        <f>COUNTIF(SprintBacklog模板!$B$5:$B$28,A12)</f>
        <v>2</v>
      </c>
      <c r="H12" s="5">
        <f>SUMIF(SprintBacklog模板!$B$5:$B$28,A12,SprintBacklog模板!$H$5:$H$28)</f>
        <v>4</v>
      </c>
      <c r="I12" s="5" t="str">
        <f t="shared" si="0"/>
        <v>已覆盖</v>
      </c>
      <c r="J12" s="5" t="s">
        <v>305</v>
      </c>
    </row>
    <row r="13" ht="68" customHeight="1" spans="1:10">
      <c r="A13" s="5" t="s">
        <v>145</v>
      </c>
      <c r="B13" s="5" t="s">
        <v>146</v>
      </c>
      <c r="C13" s="5" t="s">
        <v>147</v>
      </c>
      <c r="D13" s="5" t="s">
        <v>72</v>
      </c>
      <c r="E13" s="5">
        <v>3</v>
      </c>
      <c r="F13" s="6" t="s">
        <v>306</v>
      </c>
      <c r="G13" s="5">
        <f>COUNTIF(SprintBacklog模板!$B$5:$B$28,A13)</f>
        <v>2</v>
      </c>
      <c r="H13" s="5">
        <f>SUMIF(SprintBacklog模板!$B$5:$B$28,A13,SprintBacklog模板!$H$5:$H$28)</f>
        <v>4</v>
      </c>
      <c r="I13" s="5" t="str">
        <f t="shared" si="0"/>
        <v>已覆盖</v>
      </c>
      <c r="J13" s="5" t="s">
        <v>307</v>
      </c>
    </row>
    <row r="14" ht="68" customHeight="1" spans="1:10">
      <c r="A14" s="5" t="s">
        <v>158</v>
      </c>
      <c r="B14" s="5" t="s">
        <v>159</v>
      </c>
      <c r="C14" s="5" t="s">
        <v>160</v>
      </c>
      <c r="D14" s="5" t="s">
        <v>50</v>
      </c>
      <c r="E14" s="5">
        <v>5</v>
      </c>
      <c r="F14" s="6" t="s">
        <v>308</v>
      </c>
      <c r="G14" s="5">
        <f>COUNTIF(SprintBacklog模板!$B$5:$B$28,A14)</f>
        <v>2</v>
      </c>
      <c r="H14" s="5">
        <f>SUMIF(SprintBacklog模板!$B$5:$B$28,A14,SprintBacklog模板!$H$5:$H$28)</f>
        <v>4</v>
      </c>
      <c r="I14" s="5" t="str">
        <f t="shared" si="0"/>
        <v>已覆盖</v>
      </c>
      <c r="J14" s="5" t="s">
        <v>309</v>
      </c>
    </row>
    <row r="15" ht="68" customHeight="1" spans="1:10">
      <c r="A15" s="5" t="s">
        <v>173</v>
      </c>
      <c r="B15" s="5" t="s">
        <v>174</v>
      </c>
      <c r="C15" s="5" t="s">
        <v>175</v>
      </c>
      <c r="D15" s="5" t="s">
        <v>57</v>
      </c>
      <c r="E15" s="5">
        <v>3</v>
      </c>
      <c r="F15" s="6" t="s">
        <v>310</v>
      </c>
      <c r="G15" s="5">
        <f>COUNTIF(SprintBacklog模板!$B$5:$B$28,A15)</f>
        <v>2</v>
      </c>
      <c r="H15" s="5">
        <f>SUMIF(SprintBacklog模板!$B$5:$B$28,A15,SprintBacklog模板!$H$5:$H$28)</f>
        <v>4</v>
      </c>
      <c r="I15" s="5" t="str">
        <f t="shared" si="0"/>
        <v>已覆盖</v>
      </c>
      <c r="J15" s="5" t="s">
        <v>311</v>
      </c>
    </row>
    <row r="16" ht="68" customHeight="1" spans="1:10">
      <c r="A16" s="5" t="s">
        <v>187</v>
      </c>
      <c r="B16" s="5" t="s">
        <v>188</v>
      </c>
      <c r="C16" s="5" t="s">
        <v>189</v>
      </c>
      <c r="D16" s="5" t="s">
        <v>72</v>
      </c>
      <c r="E16" s="5">
        <v>2</v>
      </c>
      <c r="F16" s="6" t="s">
        <v>312</v>
      </c>
      <c r="G16" s="5">
        <f>COUNTIF(SprintBacklog模板!$B$5:$B$28,A16)</f>
        <v>2</v>
      </c>
      <c r="H16" s="5">
        <f>SUMIF(SprintBacklog模板!$B$5:$B$28,A16,SprintBacklog模板!$H$5:$H$28)</f>
        <v>4</v>
      </c>
      <c r="I16" s="5" t="str">
        <f t="shared" si="0"/>
        <v>已覆盖</v>
      </c>
      <c r="J16" s="5" t="s">
        <v>313</v>
      </c>
    </row>
    <row r="17" ht="68" customHeight="1" spans="1:10">
      <c r="A17" s="5" t="s">
        <v>201</v>
      </c>
      <c r="B17" s="5" t="s">
        <v>202</v>
      </c>
      <c r="C17" s="5" t="s">
        <v>203</v>
      </c>
      <c r="D17" s="5" t="s">
        <v>72</v>
      </c>
      <c r="E17" s="5">
        <v>5</v>
      </c>
      <c r="F17" s="6" t="s">
        <v>314</v>
      </c>
      <c r="G17" s="5">
        <f>COUNTIF(SprintBacklog模板!$B$5:$B$28,A17)</f>
        <v>2</v>
      </c>
      <c r="H17" s="5">
        <f>SUMIF(SprintBacklog模板!$B$5:$B$28,A17,SprintBacklog模板!$H$5:$H$28)</f>
        <v>4</v>
      </c>
      <c r="I17" s="5" t="str">
        <f t="shared" si="0"/>
        <v>已覆盖</v>
      </c>
      <c r="J17" s="5" t="s">
        <v>315</v>
      </c>
    </row>
    <row r="18" ht="15.75" spans="1:10">
      <c r="A18" s="7" t="s">
        <v>247</v>
      </c>
      <c r="B18" s="7"/>
      <c r="C18" s="7" t="s">
        <v>316</v>
      </c>
      <c r="D18" s="7"/>
      <c r="E18" s="7">
        <f>SUM(E6:E17)</f>
        <v>47</v>
      </c>
      <c r="F18" s="8"/>
      <c r="G18" s="7">
        <f>SUM(G6:G17)</f>
        <v>24</v>
      </c>
      <c r="H18" s="7">
        <f>SUM(H6:H17)</f>
        <v>48</v>
      </c>
      <c r="I18" s="7" t="str">
        <f>IF(G18=24,"完整","检查")</f>
        <v>完整</v>
      </c>
      <c r="J18" s="7"/>
    </row>
    <row r="20" ht="15.4" spans="1:10">
      <c r="A20" s="9" t="s">
        <v>317</v>
      </c>
      <c r="B20" s="9" t="s">
        <v>317</v>
      </c>
      <c r="C20" s="9" t="s">
        <v>317</v>
      </c>
      <c r="D20" s="9" t="s">
        <v>317</v>
      </c>
      <c r="E20" s="9" t="s">
        <v>317</v>
      </c>
      <c r="F20" s="9" t="s">
        <v>317</v>
      </c>
      <c r="G20" s="9" t="s">
        <v>317</v>
      </c>
      <c r="H20" s="9" t="s">
        <v>317</v>
      </c>
      <c r="I20" s="9" t="s">
        <v>317</v>
      </c>
      <c r="J20" s="9" t="s">
        <v>317</v>
      </c>
    </row>
    <row r="21" spans="1:10">
      <c r="A21" s="10" t="s">
        <v>318</v>
      </c>
      <c r="B21" s="10" t="s">
        <v>20</v>
      </c>
      <c r="C21" s="10" t="s">
        <v>319</v>
      </c>
      <c r="D21" s="10" t="s">
        <v>320</v>
      </c>
    </row>
    <row r="22" ht="32" customHeight="1" spans="1:10">
      <c r="A22" s="5" t="s">
        <v>321</v>
      </c>
      <c r="B22" s="5" t="s">
        <v>322</v>
      </c>
      <c r="C22" s="6" t="s">
        <v>323</v>
      </c>
      <c r="D22" s="6" t="s">
        <v>324</v>
      </c>
    </row>
    <row r="23" ht="32" customHeight="1" spans="1:10">
      <c r="A23" s="5" t="s">
        <v>321</v>
      </c>
      <c r="B23" s="5" t="s">
        <v>325</v>
      </c>
      <c r="C23" s="6" t="s">
        <v>326</v>
      </c>
      <c r="D23" s="6" t="s">
        <v>327</v>
      </c>
    </row>
    <row r="24" ht="32" customHeight="1" spans="1:10">
      <c r="A24" s="5" t="s">
        <v>321</v>
      </c>
      <c r="B24" s="5" t="s">
        <v>328</v>
      </c>
      <c r="C24" s="6" t="s">
        <v>329</v>
      </c>
      <c r="D24" s="6" t="s">
        <v>330</v>
      </c>
    </row>
    <row r="25" ht="32" customHeight="1" spans="1:10">
      <c r="A25" s="5" t="s">
        <v>321</v>
      </c>
      <c r="B25" s="5" t="s">
        <v>331</v>
      </c>
      <c r="C25" s="6" t="s">
        <v>332</v>
      </c>
      <c r="D25" s="6" t="s">
        <v>333</v>
      </c>
    </row>
    <row r="26" ht="32" customHeight="1" spans="1:10">
      <c r="A26" s="5" t="s">
        <v>321</v>
      </c>
      <c r="B26" s="5" t="s">
        <v>334</v>
      </c>
      <c r="C26" s="6" t="s">
        <v>335</v>
      </c>
      <c r="D26" s="6" t="s">
        <v>336</v>
      </c>
    </row>
    <row r="27" ht="32" customHeight="1" spans="1:10">
      <c r="A27" s="5" t="s">
        <v>321</v>
      </c>
      <c r="B27" s="5" t="s">
        <v>337</v>
      </c>
      <c r="C27" s="6" t="s">
        <v>338</v>
      </c>
      <c r="D27" s="6" t="s">
        <v>339</v>
      </c>
    </row>
    <row r="28" ht="32" customHeight="1" spans="1:10">
      <c r="A28" s="5" t="s">
        <v>321</v>
      </c>
      <c r="B28" s="5" t="s">
        <v>340</v>
      </c>
      <c r="C28" s="6" t="s">
        <v>341</v>
      </c>
      <c r="D28" s="6" t="s">
        <v>342</v>
      </c>
    </row>
    <row r="29" ht="32" customHeight="1" spans="1:10">
      <c r="A29" s="5" t="s">
        <v>321</v>
      </c>
      <c r="B29" s="5" t="s">
        <v>343</v>
      </c>
      <c r="C29" s="6" t="s">
        <v>344</v>
      </c>
      <c r="D29" s="6" t="s">
        <v>345</v>
      </c>
    </row>
    <row r="30" ht="32" customHeight="1" spans="1:10">
      <c r="A30" s="5" t="s">
        <v>346</v>
      </c>
      <c r="B30" s="5" t="s">
        <v>347</v>
      </c>
      <c r="C30" s="6" t="s">
        <v>348</v>
      </c>
      <c r="D30" s="6" t="s">
        <v>349</v>
      </c>
    </row>
    <row r="31" ht="32" customHeight="1" spans="1:10">
      <c r="A31" s="5" t="s">
        <v>346</v>
      </c>
      <c r="B31" s="5" t="s">
        <v>350</v>
      </c>
      <c r="C31" s="6" t="s">
        <v>351</v>
      </c>
      <c r="D31" s="6" t="s">
        <v>352</v>
      </c>
    </row>
    <row r="32" ht="32" customHeight="1" spans="1:10">
      <c r="A32" s="5" t="s">
        <v>346</v>
      </c>
      <c r="B32" s="5" t="s">
        <v>353</v>
      </c>
      <c r="C32" s="6" t="s">
        <v>354</v>
      </c>
      <c r="D32" s="6" t="s">
        <v>355</v>
      </c>
    </row>
    <row r="33" ht="32" customHeight="1" spans="1:4">
      <c r="A33" s="5" t="s">
        <v>346</v>
      </c>
      <c r="B33" s="5" t="s">
        <v>356</v>
      </c>
      <c r="C33" s="6" t="s">
        <v>357</v>
      </c>
      <c r="D33" s="6" t="s">
        <v>358</v>
      </c>
    </row>
    <row r="34" ht="32" customHeight="1" spans="1:4">
      <c r="A34" s="5" t="s">
        <v>346</v>
      </c>
      <c r="B34" s="5" t="s">
        <v>359</v>
      </c>
      <c r="C34" s="6" t="s">
        <v>360</v>
      </c>
      <c r="D34" s="6" t="s">
        <v>361</v>
      </c>
    </row>
    <row r="35" ht="32" customHeight="1" spans="1:4">
      <c r="A35" s="5" t="s">
        <v>346</v>
      </c>
      <c r="B35" s="5" t="s">
        <v>362</v>
      </c>
      <c r="C35" s="6" t="s">
        <v>363</v>
      </c>
      <c r="D35" s="6" t="s">
        <v>364</v>
      </c>
    </row>
    <row r="36" ht="32" customHeight="1" spans="1:4">
      <c r="A36" s="5" t="s">
        <v>346</v>
      </c>
      <c r="B36" s="5" t="s">
        <v>365</v>
      </c>
      <c r="C36" s="6" t="s">
        <v>366</v>
      </c>
      <c r="D36" s="6" t="s">
        <v>367</v>
      </c>
    </row>
    <row r="37" ht="32" customHeight="1" spans="1:4">
      <c r="A37" s="5" t="s">
        <v>368</v>
      </c>
      <c r="B37" s="5" t="s">
        <v>369</v>
      </c>
      <c r="C37" s="6" t="s">
        <v>370</v>
      </c>
      <c r="D37" s="6" t="s">
        <v>371</v>
      </c>
    </row>
    <row r="38" ht="32" customHeight="1" spans="1:4">
      <c r="A38" s="5" t="s">
        <v>368</v>
      </c>
      <c r="B38" s="5" t="s">
        <v>372</v>
      </c>
      <c r="C38" s="6" t="s">
        <v>373</v>
      </c>
      <c r="D38" s="6" t="s">
        <v>374</v>
      </c>
    </row>
    <row r="39" ht="32" customHeight="1" spans="1:4">
      <c r="A39" s="5" t="s">
        <v>375</v>
      </c>
      <c r="B39" s="5" t="s">
        <v>376</v>
      </c>
      <c r="C39" s="6" t="s">
        <v>377</v>
      </c>
      <c r="D39" s="6" t="s">
        <v>378</v>
      </c>
    </row>
  </sheetData>
  <mergeCells count="4">
    <mergeCell ref="A1:J1"/>
    <mergeCell ref="A2:J2"/>
    <mergeCell ref="A3:J3"/>
    <mergeCell ref="A20:J20"/>
  </mergeCells>
  <conditionalFormatting sqref="I6:I17">
    <cfRule type="containsText" dxfId="0" priority="1" operator="between" text="已覆盖">
      <formula>NOT(ISERROR(SEARCH("已覆盖",I6)))</formula>
    </cfRule>
    <cfRule type="containsText" dxfId="1" priority="2" operator="between" text="缺口">
      <formula>NOT(ISERROR(SEARCH("缺口",I6)))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版权说明</vt:lpstr>
      <vt:lpstr>SprintBacklog模板</vt:lpstr>
      <vt:lpstr>燃尽图</vt:lpstr>
      <vt:lpstr>PBI追溯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易知辞.</cp:lastModifiedBy>
  <dcterms:created xsi:type="dcterms:W3CDTF">2026-08-24T06:19:01Z</dcterms:created>
  <dcterms:modified xsi:type="dcterms:W3CDTF">2026-08-24T06:19:48Z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BC033FBE249B4624B8A588E03238A311_12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