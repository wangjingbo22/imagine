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750520ea7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权说明" sheetId="4" r:id="R7b01f6a509ce46db"/>
    <x:sheet xmlns:r="http://schemas.openxmlformats.org/officeDocument/2006/relationships" name="SprintBacklog模板" sheetId="2" r:id="Rc786b67adf9140b1"/>
    <x:sheet xmlns:r="http://schemas.openxmlformats.org/officeDocument/2006/relationships" name="燃尽图" sheetId="5" r:id="R581c27ea078641d9"/>
    <x:sheet xmlns:r="http://schemas.openxmlformats.org/officeDocument/2006/relationships" name="PBI追溯" sheetId="6" r:id="R01e5e93e6c44483e"/>
  </x:sheets>
</x:workbook>
</file>

<file path=xl/comments1.xml><?xml version="1.0" encoding="utf-8"?>
<x:comments xmlns:x="http://schemas.openxmlformats.org/spreadsheetml/2006/main">
  <x:authors>
    <x:author>作者</x:author>
  </x:authors>
  <x:commentList>
    <x:comment ref="C1" authorId="0">
      <x:text>
        <x:r>
          <x:t>作者:
示例团队的速率为80个故事点</x:t>
        </x:r>
      </x:text>
    </x:comment>
    <x:comment ref="E1" authorId="0">
      <x:text>
        <x:r>
          <x:t>作者:
优先级预留后面两位，使调整优先级的时候更加方便</x:t>
        </x:r>
      </x:text>
    </x:comment>
    <x:comment ref="G3" authorId="0">
      <x:text>
        <x:r>
          <x:t>作者:
Sprint承诺完成600h工作量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<x:sst xmlns:x="http://schemas.openxmlformats.org/spreadsheetml/2006/main">
  <x:si>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行知旅伴 V2.3 · Sprint 1 待办列表</x:t>
  </x:si>
  <x:si>
    <x:t xml:space="preserve">学校 Sprint 模板</x:t>
  </x:si>
  <x:si>
    <x:t xml:space="preserve">C:\Users\lenovo\Desktop\实训\提供的文档\Spint待办列表.xls</x:t>
  </x:si>
  <x:si>
    <x:t xml:space="preserve">V2.3 产品待办表</x:t>
  </x:si>
  <x:si>
    <x:t xml:space="preserve">C:\Users\lenovo\Desktop\实训\outputs\01a00673-ca65-7ae2-aa59-5ea1ef27f253\行知旅伴_V2.3_产品待办列表_含负责人.xlsx</x:t>
  </x:si>
  <x:si>
    <x:t xml:space="preserve">V2.3 项目规划</x:t>
  </x:si>
  <x:si>
    <x:t xml:space="preserve">C:\Users\lenovo\Desktop\实训\行知旅伴_旅行规划Agent_Scrum项目规划_V2.3.docx</x:t>
  </x:si>
  <x:si>
    <x:t xml:space="preserve">Sprint Goal</x:t>
  </x:si>
  <x:si>
    <x:t xml:space="preserve">第一次 Review 就能展示关怀单人完整 Agent</x:t>
  </x:si>
  <x:si>
    <x:t xml:space="preserve">开发容量</x:t>
  </x:si>
  <x:si>
    <x:t xml:space="preserve">48 人时：陈梓元、王敬博、张琪、林粲涵各 12 小时；Day1 6h + Day2 6h；Day3 常规开发容量 0h。</x:t>
  </x:si>
  <x:si>
    <x:t xml:space="preserve">团队</x:t>
  </x:si>
  <x:si>
    <x:t xml:space="preserve">四人均承担开发任务；陈梓元兼任 PO、王敬博兼任 SM、张琪与林粲涵兼任 QA。兼任职责不形成技术岗位壁垒。</x:t>
  </x:si>
  <x:si>
    <x:t xml:space="preserve">生成日期</x:t>
  </x:si>
  <x:si>
    <x:t xml:space="preserve">2026-08-24</x:t>
  </x:si>
  <x:si>
    <x:t xml:space="preserve">范围口径：仅纳入产品待办表中 Sprint1 的 12 条 PBI，并拆为 24 个可执行 Task。GPS 到达辅助、任务照片、迟到/疲劳事件、完整旅行回忆页保留到 Sprint2；双方案与美团 Skill 属于 P1；成员独立加入属于 Future。Story Point 只保留为相对估算，绝不直接换算工时。PR 评审人在实际提交时从非作者成员中按风险与可用性临时指定，不设固定互评搭档。</x:t>
  </x:si>
  <x:si>
    <x:t xml:space="preserve">燃尽图由Sprintbacklog中的数据自动生成。</x:t>
  </x:si>
  <x:si>
    <x:t xml:space="preserve">本模板由Scrum中文网提供，欢迎推荐给任何在实践Scrum的朋友使用。</x:t>
  </x:si>
  <x:si>
    <x:t xml:space="preserve">Scrum中文网(ScrumCN.COM)版权所有</x:t>
  </x:si>
  <x:si>
    <x:t xml:space="preserve">Task-ID</x:t>
  </x:si>
  <x:si>
    <x:t xml:space="preserve">PBI-ID</x:t>
  </x:si>
  <x:si>
    <x:t xml:space="preserve">AC-ID</x:t>
  </x:si>
  <x:si>
    <x:t xml:space="preserve">用户故事 / PBI 条目</x:t>
  </x:si>
  <x:si>
    <x:t xml:space="preserve">可执行 Task</x:t>
  </x:si>
  <x:si>
    <x:t xml:space="preserve">优先级</x:t>
  </x:si>
  <x:si>
    <x:t xml:space="preserve">PBI Story Point
（不换算工时）</x:t>
  </x:si>
  <x:si>
    <x:t xml:space="preserve">估算（小时）</x:t>
  </x:si>
  <x:si>
    <x:t xml:space="preserve">计划完成日</x:t>
  </x:si>
  <x:si>
    <x:t xml:space="preserve">前置依赖</x:t>
  </x:si>
  <x:si>
    <x:t xml:space="preserve">负责人</x:t>
  </x:si>
  <x:si>
    <x:t xml:space="preserve">可协作人 / 动态评审</x:t>
  </x:si>
  <x:si>
    <x:t xml:space="preserve">状态</x:t>
  </x:si>
  <x:si>
    <x:t xml:space="preserve">验收条件</x:t>
  </x:si>
  <x:si>
    <x:t xml:space="preserve">交付证据</x:t>
  </x:si>
  <x:si>
    <x:t xml:space="preserve">3 天 Sprint 燃尽（任务级剩余工时）</x:t>
  </x:si>
  <x:si>
    <x:t xml:space="preserve">完成判定</x:t>
  </x:si>
  <x:si>
    <x:t xml:space="preserve">Day1 计划</x:t>
  </x:si>
  <x:si>
    <x:t xml:space="preserve">Day1 实际</x:t>
  </x:si>
  <x:si>
    <x:t xml:space="preserve">Day2 计划</x:t>
  </x:si>
  <x:si>
    <x:t xml:space="preserve">Day2 实际</x:t>
  </x:si>
  <x:si>
    <x:t xml:space="preserve">Day3 计划</x:t>
  </x:si>
  <x:si>
    <x:t xml:space="preserve">Day3 实际</x:t>
  </x:si>
  <x:si>
    <x:t xml:space="preserve">S1-T001</x:t>
  </x:si>
  <x:si>
    <x:t xml:space="preserve">PBI-01-A</x:t>
  </x:si>
  <x:si>
    <x:t xml:space="preserve">AC-01-A</x:t>
  </x:si>
  <x:si>
    <x:t xml:space="preserve">全国城市需求与统一行程模型</x:t>
  </x:si>
  <x:si>
    <x:t xml:space="preserve">定义 CityContext、Trip、participants[0] 与 days[0] 的统一 Schema，并接入结构化校验。</x:t>
  </x:si>
  <x:si>
    <x:t xml:space="preserve">Must</x:t>
  </x:si>
  <x:si>
    <x:t xml:space="preserve">Day1</x:t>
  </x:si>
  <x:si>
    <x:t xml:space="preserve">无</x:t>
  </x:si>
  <x:si>
    <x:t xml:space="preserve">陈梓元</x:t>
  </x:si>
  <x:si>
    <x:t xml:space="preserve">可协作：张琪/林粲涵；PR 由非作者按 Schema 风险与可用性临时指定。</x:t>
  </x:si>
  <x:si>
    <x:t xml:space="preserve">Given 北京/上海/成都 3 组合法输入；When 校验 Schema；Then 全部通过且 cityCode、participants[0]、days[0] 可恢复；缺字段返回字段级错误，代码中无北京硬编码。</x:t>
  </x:si>
  <x:si>
    <x:t xml:space="preserve">PR；Schema 快照；3 城单元测试日志；缺字段失败用例。</x:t>
  </x:si>
  <x:si>
    <x:t xml:space="preserve">S1-T002</x:t>
  </x:si>
  <x:si>
    <x:t xml:space="preserve">实现自然语言日期、时间、预算、兴趣与地点限制的解析及歧义确认清单。</x:t>
  </x:si>
  <x:si>
    <x:t xml:space="preserve">张琪</x:t>
  </x:si>
  <x:si>
    <x:t xml:space="preserve">可协作：陈梓元/王敬博；PR 由非作者按解析与交互风险临时指定。</x:t>
  </x:si>
  <x:si>
    <x:t xml:space="preserve">Given 5 组含缺失/歧义的自然语言需求；When 解析；Then 明确值写入统一模型，缺失/歧义逐项进入确认清单，未经确认不得进入规划。</x:t>
  </x:si>
  <x:si>
    <x:t xml:space="preserve">PR；5 组 Fixture；解析结果 JSON；确认清单截图。</x:t>
  </x:si>
  <x:si>
    <x:t xml:space="preserve">S1-T003</x:t>
  </x:si>
  <x:si>
    <x:t xml:space="preserve">PBI-01-B</x:t>
  </x:si>
  <x:si>
    <x:t xml:space="preserve">AC-01-B</x:t>
  </x:si>
  <x:si>
    <x:t xml:space="preserve">AssistanceProfile 与约束确认</x:t>
  </x:si>
  <x:si>
    <x:t xml:space="preserve">建立 AssistanceProfile 字段模型、普通/亲子/低体力/行动辅助 Beta 预设与 DRAFT 状态。</x:t>
  </x:si>
  <x:si>
    <x:t xml:space="preserve">林粲涵</x:t>
  </x:si>
  <x:si>
    <x:t xml:space="preserve">可协作：陈梓元/王敬博；PR 由非作者按关怀字段风险临时指定。</x:t>
  </x:si>
  <x:si>
    <x:t xml:space="preserve">Given 4 类预设；When 新建单人档案；Then childAge、walkLimits、maxTransfers、restInterval、napWindow、avoidStairs 可序列化，participants 长度为 1，状态为 DRAFT。</x:t>
  </x:si>
  <x:si>
    <x:t xml:space="preserve">PR；4 类 Profile JSON；Schema 测试；状态快照。</x:t>
  </x:si>
  <x:si>
    <x:t xml:space="preserve">S1-T004</x:t>
  </x:si>
  <x:si>
    <x:t xml:space="preserve">完成约束确认页与状态守卫：可编辑、回退 DRAFT、全量确认后进入 CONSTRAINT_CONFIRMED。</x:t>
  </x:si>
  <x:si>
    <x:t xml:space="preserve">王敬博</x:t>
  </x:si>
  <x:si>
    <x:t xml:space="preserve">可协作：林粲涵/陈梓元；PR 由非作者按状态与可访问性风险临时指定。</x:t>
  </x:si>
  <x:si>
    <x:t xml:space="preserve">Given 一份 Profile；When 修改任一字段；Then 状态回到 DRAFT；When 必填项全部确认；Then 仅一次进入 CONSTRAINT_CONFIRMED；375px 与桌面端无横向滚动。</x:t>
  </x:si>
  <x:si>
    <x:t xml:space="preserve">PR；组件测试；状态转换日志；375px/桌面截图。</x:t>
  </x:si>
  <x:si>
    <x:t xml:space="preserve">S1-T005</x:t>
  </x:si>
  <x:si>
    <x:t xml:space="preserve">PBI-02-A</x:t>
  </x:si>
  <x:si>
    <x:t xml:space="preserve">AC-02-A</x:t>
  </x:si>
  <x:si>
    <x:t xml:space="preserve">城市地点、路线与可信来源</x:t>
  </x:si>
  <x:si>
    <x:t xml:space="preserve">实现按 CityContext 调用地点、路线、价格 Provider 的适配层与两城联调。</x:t>
  </x:si>
  <x:si>
    <x:t xml:space="preserve">可协作：陈梓元/林粲涵；PR 由非作者按外部接口风险临时指定。</x:t>
  </x:si>
  <x:si>
    <x:t xml:space="preserve">Given 北京与上海 CityContext；When 查询 POI/路线；Then 请求均带对应 cityCode，结果只含同城候选，并返回来源、fetchedAt 与事实状态。</x:t>
  </x:si>
  <x:si>
    <x:t xml:space="preserve">PR；两城请求/响应脱敏日志；Provider Stub 集成测试。</x:t>
  </x:si>
  <x:si>
    <x:t xml:space="preserve">S1-T006</x:t>
  </x:si>
  <x:si>
    <x:t xml:space="preserve">实现 cityCode 隔离缓存、来源归一化与 unknown 价格不按 0 元计入预算。</x:t>
  </x:si>
  <x:si>
    <x:t xml:space="preserve">Day2</x:t>
  </x:si>
  <x:si>
    <x:t xml:space="preserve">可协作：张琪/林粲涵；PR 由非作者按缓存串城与预算风险临时指定。</x:t>
  </x:si>
  <x:si>
    <x:t xml:space="preserve">Given 两城同名 POI 与在线失败；When 读写缓存并计算预算；Then 缓存键含 cityCode、不得串城；unknown 保持未知并触发预警，不参与已知金额求和。</x:t>
  </x:si>
  <x:si>
    <x:t xml:space="preserve">PR；缓存键快照；跨城隔离测试；unknown 预算测试。</x:t>
  </x:si>
  <x:si>
    <x:t xml:space="preserve">S1-T007</x:t>
  </x:si>
  <x:si>
    <x:t xml:space="preserve">PBI-03-A</x:t>
  </x:si>
  <x:si>
    <x:t xml:space="preserve">AC-03-A</x:t>
  </x:si>
  <x:si>
    <x:t xml:space="preserve">关怀约束编译</x:t>
  </x:si>
  <x:si>
    <x:t xml:space="preserve">实现 AssistanceProfile→Constraint 的确定性关怀约束编译器。</x:t>
  </x:si>
  <x:si>
    <x:t xml:space="preserve">可协作：林粲涵/张琪；PR 由非作者按规则正确性风险临时指定。</x:t>
  </x:si>
  <x:si>
    <x:t xml:space="preserve">Given 4 类 Profile；When 编译两次；Then 步行、换乘、休息、午休、返程、避阶梯 Constraint 含 scope/hardness 且结果一致；非法字段停止规划。</x:t>
  </x:si>
  <x:si>
    <x:t xml:space="preserve">PR；编译快照；确定性回归；非法字段失败日志。</x:t>
  </x:si>
  <x:si>
    <x:t xml:space="preserve">S1-T008</x:t>
  </x:si>
  <x:si>
    <x:t xml:space="preserve">把关怀编译器注册为 Agent 工具，并增加 LLM 不得改写确定性约束的契约测试。</x:t>
  </x:si>
  <x:si>
    <x:t xml:space="preserve">可协作：陈梓元/王敬博；PR 由非作者按 Agent 工具边界风险临时指定。</x:t>
  </x:si>
  <x:si>
    <x:t xml:space="preserve">Given 已确认 Profile；When Agent 调用工具；Then 只接受编译器结构化结果；模型修改 scope/hardness 或漏字段时契约校验失败且不进入规划。</x:t>
  </x:si>
  <x:si>
    <x:t xml:space="preserve">PR；Agent 工具 Trace；契约测试报告；篡改失败用例。</x:t>
  </x:si>
  <x:si>
    <x:t xml:space="preserve">S1-T009</x:t>
  </x:si>
  <x:si>
    <x:t xml:space="preserve">PBI-03-B</x:t>
  </x:si>
  <x:si>
    <x:t xml:space="preserve">AC-03-B</x:t>
  </x:si>
  <x:si>
    <x:t xml:space="preserve">路线风险与设施证据</x:t>
  </x:si>
  <x:si>
    <x:t xml:space="preserve">基于路线 Fixture 实现阶梯、步行、换乘、休息间隔的风险判定与命中规则定位。</x:t>
  </x:si>
  <x:si>
    <x:t xml:space="preserve">可协作：张琪/陈梓元；PR 由非作者按关怀安全风险临时指定。</x:t>
  </x:si>
  <x:si>
    <x:t xml:space="preserve">Given 含阶梯、超步行、超换乘、缺休息的路线 Fixture；When 风险校验；Then 分别输出 FAIL 与命中的 routeSegment/ruleId；普通档案不误报行动辅助限制。</x:t>
  </x:si>
  <x:si>
    <x:t xml:space="preserve">PR；4 类路线 Fixture；规则命中矩阵；单元测试日志。</x:t>
  </x:si>
  <x:si>
    <x:t xml:space="preserve">S1-T010</x:t>
  </x:si>
  <x:si>
    <x:t xml:space="preserve">接入真实路线快照并在计划工作台展示设施证据与 NEEDS_CONFIRMATION。</x:t>
  </x:si>
  <x:si>
    <x:t xml:space="preserve">S1-T006,S1-T009</x:t>
  </x:si>
  <x:si>
    <x:t xml:space="preserve">可协作：林粲涵/王敬博；PR 由非作者按证据误导风险临时指定。</x:t>
  </x:si>
  <x:si>
    <x:t xml:space="preserve">Given 电梯/坡道/母婴室/无障碍入口缺少来源；When 展示路线校验；Then 明确标记 NEEDS_CONFIRMATION 与缺失项，不显示 PASS 或全国无障碍保证。</x:t>
  </x:si>
  <x:si>
    <x:t xml:space="preserve">PR；接口快照；缺证 UI 截图；文案断言测试。</x:t>
  </x:si>
  <x:si>
    <x:t xml:space="preserve">S1-T011</x:t>
  </x:si>
  <x:si>
    <x:t xml:space="preserve">PBI-04-A</x:t>
  </x:si>
  <x:si>
    <x:t xml:space="preserve">AC-04-A</x:t>
  </x:si>
  <x:si>
    <x:t xml:space="preserve">唯一推荐方案与确定性校验</x:t>
  </x:si>
  <x:si>
    <x:t xml:space="preserve">实现只输出一个 3—4 任务候选的规划器与预算/时间/路线/关怀确定性校验。</x:t>
  </x:si>
  <x:si>
    <x:t xml:space="preserve">S1-T006,S1-T007,S1-T009</x:t>
  </x:si>
  <x:si>
    <x:t xml:space="preserve">可协作：陈梓元/张琪；PR 由非作者按规划硬约束风险临时指定。</x:t>
  </x:si>
  <x:si>
    <x:t xml:space="preserve">Given 同城事实与已确认约束；When 生成推荐；Then 仅一个含 3—4 任务的方案；全部硬约束 PASS 才返回，金额按整数分，unknown 独立预警。</x:t>
  </x:si>
  <x:si>
    <x:t xml:space="preserve">PR；黄金案例计划 JSON；硬约束校验表；金额复算测试。</x:t>
  </x:si>
  <x:si>
    <x:t xml:space="preserve">S1-T012</x:t>
  </x:si>
  <x:si>
    <x:t xml:space="preserve">完成唯一推荐方案工作台，展示顺序、时间、停留、交通、费用、风险与确认入口。</x:t>
  </x:si>
  <x:si>
    <x:t xml:space="preserve">可协作：林粲涵/张琪；PR 由非作者按决策界面风险临时指定。</x:t>
  </x:si>
  <x:si>
    <x:t xml:space="preserve">Given 一个已校验方案；When 打开工作台；Then 只出现一个主方案且 3—4 任务关键字段完整，unknown/NEEDS_CONFIRMATION 可见，不出现均衡/省钱双方案。</x:t>
  </x:si>
  <x:si>
    <x:t xml:space="preserve">PR；桌面/375px 截图；组件测试；双方案缺席断言。</x:t>
  </x:si>
  <x:si>
    <x:t xml:space="preserve">S1-T013</x:t>
  </x:si>
  <x:si>
    <x:t xml:space="preserve">PBI-04-B</x:t>
  </x:si>
  <x:si>
    <x:t xml:space="preserve">AC-04-B</x:t>
  </x:si>
  <x:si>
    <x:t xml:space="preserve">Plan V1 确认与状态守卫</x:t>
  </x:si>
  <x:si>
    <x:t xml:space="preserve">建立不可变 PlanVersion 持久化、约束/来源快照与同 Trip 唯一 CURRENT 约束。</x:t>
  </x:si>
  <x:si>
    <x:t xml:space="preserve">可协作：陈梓元/林粲涵；PR 由非作者按数据一致性风险临时指定。</x:t>
  </x:si>
  <x:si>
    <x:t xml:space="preserve">Given PROPOSED 计划；When 确认；Then 生成不可变 V1 与来源快照并成为唯一 CURRENT；再次写入同一版本被拒绝，刷新可恢复 cityCode、days[0]、任务与金额。</x:t>
  </x:si>
  <x:si>
    <x:t xml:space="preserve">PR；迁移/模型快照；唯一性测试；刷新恢复日志。</x:t>
  </x:si>
  <x:si>
    <x:t xml:space="preserve">S1-T014</x:t>
  </x:si>
  <x:si>
    <x:t xml:space="preserve">实现 PlanVersion 状态守卫和恢复接口，拒绝 PROPOSED 执行及非法状态跳转。</x:t>
  </x:si>
  <x:si>
    <x:t xml:space="preserve">可协作：张琪/王敬博；PR 由非作者按状态机风险临时指定。</x:t>
  </x:si>
  <x:si>
    <x:t xml:space="preserve">Given PROPOSED/CURRENT/SUPERSEDED/REJECTED 状态；When 发起执行或切换；Then 仅合法边生效，PROPOSED 不可执行，非法跳转返回明确错误且 CURRENT 不变。</x:t>
  </x:si>
  <x:si>
    <x:t xml:space="preserve">PR；状态机矩阵；接口回归；非法跳转响应。</x:t>
  </x:si>
  <x:si>
    <x:t xml:space="preserve">S1-T015</x:t>
  </x:si>
  <x:si>
    <x:t xml:space="preserve">PBI-05-A</x:t>
  </x:si>
  <x:si>
    <x:t xml:space="preserve">AC-05-A</x:t>
  </x:si>
  <x:si>
    <x:t xml:space="preserve">执行事件与实际消费</x:t>
  </x:si>
  <x:si>
    <x:t xml:space="preserve">实现手机执行页与 START/COMPLETE/SKIP ExecutionEvent 接口，事件绑定 taskId 并幂等。</x:t>
  </x:si>
  <x:si>
    <x:t xml:space="preserve">可协作：张琪/陈梓元；PR 由非作者按事件幂等风险临时指定。</x:t>
  </x:si>
  <x:si>
    <x:t xml:space="preserve">Given CURRENT V1；When 开始/完成/跳过任务并重复提交；Then 每个操作只生成一个绑定 taskId 的事件，当前任务与已完成状态刷新后可恢复。</x:t>
  </x:si>
  <x:si>
    <x:t xml:space="preserve">PR；手机页截图；事件接口日志；重复提交测试。</x:t>
  </x:si>
  <x:si>
    <x:t xml:space="preserve">S1-T016</x:t>
  </x:si>
  <x:si>
    <x:t xml:space="preserve">接入实际消费录入，金额按整数分保存并从事件流复算剩余预算。</x:t>
  </x:si>
  <x:si>
    <x:t xml:space="preserve">可协作：王敬博/陈梓元；PR 由非作者按金额与幂等风险临时指定。</x:t>
  </x:si>
  <x:si>
    <x:t xml:space="preserve">Given 计划预算与多笔实际消费；When 录入含多花 50 元的事件；Then 金额均为整数分，剩余预算由事件流复算；重复 idempotencyKey 不重复扣减。</x:t>
  </x:si>
  <x:si>
    <x:t xml:space="preserve">PR；整数分测试；预算复算表；幂等接口日志。</x:t>
  </x:si>
  <x:si>
    <x:t xml:space="preserve">S1-T017</x:t>
  </x:si>
  <x:si>
    <x:t xml:space="preserve">PBI-05-B</x:t>
  </x:si>
  <x:si>
    <x:t xml:space="preserve">AC-05-B</x:t>
  </x:si>
  <x:si>
    <x:t xml:space="preserve">最小扰动 Plan V2</x:t>
  </x:si>
  <x:si>
    <x:t xml:space="preserve">由执行事件推导剩余约束，编排只重算未完成后缀的 Plan V2。</x:t>
  </x:si>
  <x:si>
    <x:t xml:space="preserve">S1-T014,S1-T016</x:t>
  </x:si>
  <x:si>
    <x:t xml:space="preserve">可协作：林粲涵/张琪；PR 由非作者按重规划一致性风险临时指定。</x:t>
  </x:si>
  <x:si>
    <x:t xml:space="preserve">Given 已完成/锁定任务与多花 50 元事件；When 请求重规划；Then 已完成/锁定任务保留率 100%，只生成未完成后缀候选；无可行解时不保存 V2。</x:t>
  </x:si>
  <x:si>
    <x:t xml:space="preserve">PR；重规划 Trace；保留率断言；无解回归。</x:t>
  </x:si>
  <x:si>
    <x:t xml:space="preserve">S1-T018</x:t>
  </x:si>
  <x:si>
    <x:t xml:space="preserve">实现最小扰动目标和 V2 的预算、时间、路线、关怀再校验及可放宽项说明。</x:t>
  </x:si>
  <x:si>
    <x:t xml:space="preserve">S1-T011,S1-T017</x:t>
  </x:si>
  <x:si>
    <x:t xml:space="preserve">可协作：陈梓元/张琪；PR 由非作者按最小扰动与关怀风险临时指定。</x:t>
  </x:si>
  <x:si>
    <x:t xml:space="preserve">Given 两个可行后缀；When 比较候选；Then 先最少修改任务数，再比较满意度损失；选中 V2 全部硬约束 PASS；无解返回受影响 ruleId 与可放宽项。</x:t>
  </x:si>
  <x:si>
    <x:t xml:space="preserve">PR；候选比较表；V2 校验报告；无解说明快照。</x:t>
  </x:si>
  <x:si>
    <x:t xml:space="preserve">S1-T019</x:t>
  </x:si>
  <x:si>
    <x:t xml:space="preserve">PBI-05-C</x:t>
  </x:si>
  <x:si>
    <x:t xml:space="preserve">AC-05-C</x:t>
  </x:si>
  <x:si>
    <x:t xml:space="preserve">V1/V2 Diff 与接受拒绝</x:t>
  </x:si>
  <x:si>
    <x:t xml:space="preserve">实现 V1/V2 Diff 数据契约与接受/拒绝后的原子版本切换。</x:t>
  </x:si>
  <x:si>
    <x:t xml:space="preserve">S1-T013,S1-T018</x:t>
  </x:si>
  <x:si>
    <x:t xml:space="preserve">可协作：陈梓元/王敬博；PR 由非作者按原子切换风险临时指定。</x:t>
  </x:si>
  <x:si>
    <x:t xml:space="preserve">Given 候选 V2；When 生成 Diff 并接受/拒绝；Then 地点、时间、路线、费用、关怀变化分为保留/删除/新增；接受原子切换 CURRENT，拒绝后 V1 与执行状态不变。</x:t>
  </x:si>
  <x:si>
    <x:t xml:space="preserve">PR；Diff JSON；接受/拒绝事务测试；状态快照。</x:t>
  </x:si>
  <x:si>
    <x:t xml:space="preserve">S1-T020</x:t>
  </x:si>
  <x:si>
    <x:t xml:space="preserve">完成 V1/V2 Diff 页面及接受/拒绝交互，未明确确认前不得覆盖 V1。</x:t>
  </x:si>
  <x:si>
    <x:t xml:space="preserve">可协作：张琪/林粲涵；PR 由非作者按变更确认风险临时指定。</x:t>
  </x:si>
  <x:si>
    <x:t xml:space="preserve">Given 一份 V2 Diff；When 查看、接受或拒绝；Then 变化类型与费用/关怀指标清晰，确认前 CURRENT 始终是 V1；375px 下主操作可见且无横向滚动。</x:t>
  </x:si>
  <x:si>
    <x:t xml:space="preserve">PR；Diff 截图；接受/拒绝 E2E；375px 录屏片段。</x:t>
  </x:si>
  <x:si>
    <x:t xml:space="preserve">S1-T021</x:t>
  </x:si>
  <x:si>
    <x:t xml:space="preserve">PBI-06-A</x:t>
  </x:si>
  <x:si>
    <x:t xml:space="preserve">AC-06-A</x:t>
  </x:si>
  <x:si>
    <x:t xml:space="preserve">单人基础总结</x:t>
  </x:si>
  <x:si>
    <x:t xml:space="preserve">实现单人基础总结聚合与页面：计划/实际费用、差额、完成/跳过、版本变化。</x:t>
  </x:si>
  <x:si>
    <x:t xml:space="preserve">S1-T015,S1-T019</x:t>
  </x:si>
  <x:si>
    <x:t xml:space="preserve">可协作：张琪/林粲涵；PR 由非作者按总结可追溯风险临时指定。</x:t>
  </x:si>
  <x:si>
    <x:t xml:space="preserve">Given COMPLETED 行程；When 打开总结；Then 计划/实际费用及差额可复算，完成/跳过任务与版本变化可追溯到事件；无 V2 显示仅执行 V1；不出现照片时间线。</x:t>
  </x:si>
  <x:si>
    <x:t xml:space="preserve">PR；基础总结截图；聚合测试；仅 V1 场景回归。</x:t>
  </x:si>
  <x:si>
    <x:t xml:space="preserve">S1-T022</x:t>
  </x:si>
  <x:si>
    <x:t xml:space="preserve">编写从事件流到基础总结的追溯回归，并固化无 V2/接受 V2/拒绝 V2 三种路径。</x:t>
  </x:si>
  <x:si>
    <x:t xml:space="preserve">可协作：王敬博/张琪；PR 由非作者按覆盖缺口与可用性临时指定。</x:t>
  </x:si>
  <x:si>
    <x:t xml:space="preserve">Given 三条固定路径；When 运行自动化；Then 每条总结数字可追到 taskId/eventId/planVersionId，接受与拒绝结果正确，3/3 用例通过且不依赖照片。</x:t>
  </x:si>
  <x:si>
    <x:t xml:space="preserve">PR；3 路径自动化报告；追溯映射；失败截图留档规则。</x:t>
  </x:si>
  <x:si>
    <x:t xml:space="preserve">S1-T023</x:t>
  </x:si>
  <x:si>
    <x:t xml:space="preserve">PBI-13-S1</x:t>
  </x:si>
  <x:si>
    <x:t xml:space="preserve">AC-13-S1</x:t>
  </x:si>
  <x:si>
    <x:t xml:space="preserve">公网响应式与视觉系统（S1）</x:t>
  </x:si>
  <x:si>
    <x:t xml:space="preserve">建立统一设计令牌、响应式应用骨架和公网 HTTPS 部署流水线。</x:t>
  </x:si>
  <x:si>
    <x:t xml:space="preserve">可协作：全员；PR 由非作者按部署/响应式风险与可用性临时指定。</x:t>
  </x:si>
  <x:si>
    <x:t xml:space="preserve">Given 公网环境；When 打开首页及空流程骨架；Then HTTPS 可访问，桌面与 375px 无横向滚动，颜色/字体/间距/状态组件使用同一设计令牌。</x:t>
  </x:si>
  <x:si>
    <x:t xml:space="preserve">PR；公网 URL；桌面/375px 截图；部署日志。</x:t>
  </x:si>
  <x:si>
    <x:t xml:space="preserve">S1-T024</x:t>
  </x:si>
  <x:si>
    <x:t xml:space="preserve">集成关怀单人完整 Agent 主链、部署观测与 90 秒 Review 黄金案例。</x:t>
  </x:si>
  <x:si>
    <x:t xml:space="preserve">S1-T002,T004,T008,T010,T012,T016,T020,T022,T023</x:t>
  </x:si>
  <x:si>
    <x:t xml:space="preserve">可协作：全员；PR 由非作者按端到端风险与当次可用性临时指定。</x:t>
  </x:si>
  <x:si>
    <x:t xml:space="preserve">Given 公网 HTTPS 与固定祖孙/亲子北京案例；When 桌面/375px 演示；Then 90 秒内完成 AssistanceProfile→V1→多花 50 元→V2→接受或拒绝→总结，Trace 可定位每一步。</x:t>
  </x:si>
  <x:si>
    <x:t xml:space="preserve">PR；公网链路 Trace；90 秒演示计时记录；桌面/手机 E2E 结果。</x:t>
  </x:si>
  <x:si>
    <x:t xml:space="preserve">Sprint 1 · 容量、燃尽与 Review 门禁</x:t>
  </x:si>
  <x:si>
    <x:t xml:space="preserve">Sprint Goal：第一次 Review 就能展示关怀单人完整 Agent</x:t>
  </x:si>
  <x:si>
    <x:t xml:space="preserve">实际剩余工时列初始化为计划基线，Sprint 执行后由每日站会更新黄色输入格；所有汇总、偏差、完成率与图表均由公式回算。</x:t>
  </x:si>
  <x:si>
    <x:t xml:space="preserve">燃尽口径</x:t>
  </x:si>
  <x:si>
    <x:t xml:space="preserve">计划基线</x:t>
  </x:si>
  <x:si>
    <x:t xml:space="preserve">切换为“执行中”后，每日更新 SprintBacklog模板 的 Day1/Day2/Day3 实际剩余工时；Day3 仅关键缺陷修复可占用临时缓冲，不新增常规开发承诺。</x:t>
  </x:si>
  <x:si>
    <x:t xml:space="preserve">关键指标</x:t>
  </x:si>
  <x:si>
    <x:t xml:space="preserve">公式值</x:t>
  </x:si>
  <x:si>
    <x:t xml:space="preserve">校验/说明</x:t>
  </x:si>
  <x:si>
    <x:t xml:space="preserve">计划总工时</x:t>
  </x:si>
  <x:si>
    <x:t xml:space="preserve">必须 = 48 人时</x:t>
  </x:si>
  <x:si>
    <x:t xml:space="preserve">Task 数</x:t>
  </x:si>
  <x:si>
    <x:t xml:space="preserve">24 个可执行开发 Task</x:t>
  </x:si>
  <x:si>
    <x:t xml:space="preserve">Sprint1 PBI 数</x:t>
  </x:si>
  <x:si>
    <x:t xml:space="preserve">必须 = 12 条</x:t>
  </x:si>
  <x:si>
    <x:t xml:space="preserve">Day3 常规开发容量</x:t>
  </x:si>
  <x:si>
    <x:t xml:space="preserve">Review/验收/演示/彩排与关键缺陷处理，不预占常规容量</x:t>
  </x:si>
  <x:si>
    <x:t xml:space="preserve">成员</x:t>
  </x:si>
  <x:si>
    <x:t xml:space="preserve">计划容量</x:t>
  </x:si>
  <x:si>
    <x:t xml:space="preserve">分配工时</x:t>
  </x:si>
  <x:si>
    <x:t xml:space="preserve">偏差</x:t>
  </x:si>
  <x:si>
    <x:t xml:space="preserve">Day1 工时</x:t>
  </x:si>
  <x:si>
    <x:t xml:space="preserve">Day2 工时</x:t>
  </x:si>
  <x:si>
    <x:t xml:space="preserve">容量状态</x:t>
  </x:si>
  <x:si>
    <x:t xml:space="preserve">兼任职责</x:t>
  </x:si>
  <x:si>
    <x:t xml:space="preserve">主责方向（非技术壁垒）</x:t>
  </x:si>
  <x:si>
    <x:t xml:space="preserve">PO（兼任）</x:t>
  </x:si>
  <x:si>
    <x:t xml:space="preserve">Agent 后端主链；允许跨前后端协作</x:t>
  </x:si>
  <x:si>
    <x:t xml:space="preserve">SM（兼任）</x:t>
  </x:si>
  <x:si>
    <x:t xml:space="preserve">公网响应式、执行与总结；同样承担开发</x:t>
  </x:si>
  <x:si>
    <x:t xml:space="preserve">QA（兼任）</x:t>
  </x:si>
  <x:si>
    <x:t xml:space="preserve">城市 Provider、版本/Diff；同样承担开发</x:t>
  </x:si>
  <x:si>
    <x:t xml:space="preserve">关怀编译、路线风险、校验；同样承担开发</x:t>
  </x:si>
  <x:si>
    <x:t xml:space="preserve">合计</x:t>
  </x:si>
  <x:si>
    <x:t xml:space="preserve">四人均为开发者</x:t>
  </x:si>
  <x:si>
    <x:t xml:space="preserve">主责表示首要推进责任，不限制协作</x:t>
  </x:si>
  <x:si>
    <x:t xml:space="preserve">节点</x:t>
  </x:si>
  <x:si>
    <x:t xml:space="preserve">计划剩余</x:t>
  </x:si>
  <x:si>
    <x:t xml:space="preserve">实际剩余</x:t>
  </x:si>
  <x:si>
    <x:t xml:space="preserve">计划完成率</x:t>
  </x:si>
  <x:si>
    <x:t xml:space="preserve">实际完成率</x:t>
  </x:si>
  <x:si>
    <x:t xml:space="preserve">燃尽状态</x:t>
  </x:si>
  <x:si>
    <x:t xml:space="preserve">Sprint 开始</x:t>
  </x:si>
  <x:si>
    <x:t xml:space="preserve">Day3</x:t>
  </x:si>
  <x:si>
    <x:t xml:space="preserve">Day3 活动</x:t>
  </x:si>
  <x:si>
    <x:t xml:space="preserve">参与/主责</x:t>
  </x:si>
  <x:si>
    <x:t xml:space="preserve">容量口径</x:t>
  </x:si>
  <x:si>
    <x:t xml:space="preserve">验收证据</x:t>
  </x:si>
  <x:si>
    <x:t xml:space="preserve">Sprint Review 与 Goal 门禁</x:t>
  </x:si>
  <x:si>
    <x:t xml:space="preserve">全员</x:t>
  </x:si>
  <x:si>
    <x:t xml:space="preserve">不预占常规开发容量</x:t>
  </x:si>
  <x:si>
    <x:t xml:space="preserve">公网 90 秒黄金链演示记录</x:t>
  </x:si>
  <x:si>
    <x:t xml:space="preserve">PO 验收</x:t>
  </x:si>
  <x:si>
    <x:t xml:space="preserve">陈梓元兼任 PO；非作者参与</x:t>
  </x:si>
  <x:si>
    <x:t xml:space="preserve">产品验收，不形成固定技术岗位</x:t>
  </x:si>
  <x:si>
    <x:t xml:space="preserve">12 条 PBI/AC 验收勾选</x:t>
  </x:si>
  <x:si>
    <x:t xml:space="preserve">QA 验收</x:t>
  </x:si>
  <x:si>
    <x:t xml:space="preserve">张琪/林粲涵兼任 QA；全员可补位</x:t>
  </x:si>
  <x:si>
    <x:t xml:space="preserve">验收职责为兼任</x:t>
  </x:si>
  <x:si>
    <x:t xml:space="preserve">关键路径自动化与缺陷清单</x:t>
  </x:si>
  <x:si>
    <x:t xml:space="preserve">演示与彩排</x:t>
  </x:si>
  <x:si>
    <x:t xml:space="preserve">王敬博协调；全员执行</x:t>
  </x:si>
  <x:si>
    <x:t xml:space="preserve">不新增常规功能</x:t>
  </x:si>
  <x:si>
    <x:t xml:space="preserve">桌面/375px 演示脚本与计时</x:t>
  </x:si>
  <x:si>
    <x:t xml:space="preserve">关键缺陷修复</x:t>
  </x:si>
  <x:si>
    <x:t xml:space="preserve">按缺陷风险与可用性动态指派</x:t>
  </x:si>
  <x:si>
    <x:t xml:space="preserve">仅 P0/P1；不预先挤入 48h</x:t>
  </x:si>
  <x:si>
    <x:t xml:space="preserve">修复 PR、回归日志与 PO 复验</x:t>
  </x:si>
  <x:si>
    <x:t xml:space="preserve">协作与评审规则：四人均承担开发任务；主责字段只表示首要推进责任。可协作人按当前任务列示但不构成固定搭档。每个 PR 在实际提交时从非作者成员中，依据 Schema/金额/状态机/关怀安全/交互/部署等风险和当次可用性临时指定评审人。</x:t>
  </x:si>
  <x:si>
    <x:t xml:space="preserve">Sprint 1 · PBI / AC / Task / 交付证据追溯</x:t>
  </x:si>
  <x:si>
    <x:t xml:space="preserve">Sprint1 精确筛选自产品Backlog H 列 = Sprint1，共 12 条、47 SP；SP 仅作相对估算，不与 48 人时换算。</x:t>
  </x:si>
  <x:si>
    <x:t xml:space="preserve">Sprint1 条目</x:t>
  </x:si>
  <x:si>
    <x:t xml:space="preserve">产品负责人</x:t>
  </x:si>
  <x:si>
    <x:t xml:space="preserve">PBI SP</x:t>
  </x:si>
  <x:si>
    <x:t xml:space="preserve">产品 AC（Given/When/Then）</x:t>
  </x:si>
  <x:si>
    <x:t xml:space="preserve">Task 工时</x:t>
  </x:si>
  <x:si>
    <x:t xml:space="preserve">覆盖状态</x:t>
  </x:si>
  <x:si>
    <x:t xml:space="preserve">产品待办来源</x:t>
  </x:si>
  <x:si>
    <x:t xml:space="preserve">Given 新建单人行程；When 选择目标城市并输入自然语言需求；Then 生成 CityContext、participants[0]、days[0]、预算与时间窗；缺失或歧义字段逐项确认；输出通过 Pydantic/JSON Schema，页面、缓存键与接口不得写死北京。</x:t>
  </x:si>
  <x:si>
    <x:t xml:space="preserve">产品Backlog!第 7 行</x:t>
  </x:si>
  <x:si>
    <x:t xml:space="preserve">Given 已录入普通/亲子/低体力/行动辅助 Beta 需求；When 打开确认页；Then childAge、walkLimits、maxTransfers、restInterval、napWindow、avoidStairs 等可查看和修改；修改后回到 DRAFT，全部必填约束确认后才进入 CONSTRAINT_CONFIRMED。</x:t>
  </x:si>
  <x:si>
    <x:t xml:space="preserve">产品Backlog!第 8 行</x:t>
  </x:si>
  <x:si>
    <x:t xml:space="preserve">Given 已确认 CityContext；When 查询候选地点和路线；Then cityCode 进入 Provider 请求与缓存键且不得跨城；地点、路线、价格带来源、fetchedAt 与事实状态；unknown 不得按 0 元参与预算，在线失败只读对应城市缓存。</x:t>
  </x:si>
  <x:si>
    <x:t xml:space="preserve">产品Backlog!第 9 行</x:t>
  </x:si>
  <x:si>
    <x:t xml:space="preserve">Given 已确认 AssistanceProfile；When 编译关怀约束；Then 输出带 scope 与 hardness 的步行、换乘、休息、午休、返程、避阶梯 Constraint；同输入可复现，无需求不增限，失败返回具体字段并阻止规划。</x:t>
  </x:si>
  <x:si>
    <x:t xml:space="preserve">产品Backlog!第 10 行</x:t>
  </x:si>
  <x:si>
    <x:t xml:space="preserve">Given 路线快照和关怀约束；When 校验路线风险；Then 已知阶梯在行动辅助 Beta 下为 FAIL，超步行/换乘/休息规则时指出路段；设施缺证统一标记 NEEDS_CONFIRMATION，不宣称已通过或保证全国无障碍。</x:t>
  </x:si>
  <x:si>
    <x:t xml:space="preserve">产品Backlog!第 11 行</x:t>
  </x:si>
  <x:si>
    <x:t xml:space="preserve">Given 同城地点、路线与已确认约束；When 生成推荐；Then P0 仅输出一个含 3—4 个任务的方案，任务含顺序、时间、停留、交通与费用；所有硬约束 PASS 才推荐，金额按整数分复算，unknown 单独预警。</x:t>
  </x:si>
  <x:si>
    <x:t xml:space="preserve">产品Backlog!第 12 行</x:t>
  </x:si>
  <x:si>
    <x:t xml:space="preserve">Given 推荐已通过校验；When 用户确认；Then 保存不可变 Plan V1 与约束/来源快照，并成为同一 Trip 唯一 CURRENT；未确认方案为 PROPOSED 且不可执行；刷新可恢复，非法状态转换被拒绝。</x:t>
  </x:si>
  <x:si>
    <x:t xml:space="preserve">产品Backlog!第 13 行</x:t>
  </x:si>
  <x:si>
    <x:t xml:space="preserve">Given 当前版本为 Plan V1；When 开始、完成或跳过任务并记录实际消费；Then 每次操作生成绑定 taskId 的 ExecutionEvent，金额按整数分保存且剩余预算可复算；重复提交不重复，刷新可恢复。</x:t>
  </x:si>
  <x:si>
    <x:t xml:space="preserve">产品Backlog!第 14 行</x:t>
  </x:si>
  <x:si>
    <x:t xml:space="preserve">Given 已执行至少一个任务且实际消费改变剩余约束；When 请求重规划；Then 已完成与锁定任务保留率 100%，只调整未完成后缀并重新通过预算、时间、路线与关怀校验；无可行解时说明可放宽项且不生成半更新 V2。</x:t>
  </x:si>
  <x:si>
    <x:t xml:space="preserve">产品Backlog!第 15 行</x:t>
  </x:si>
  <x:si>
    <x:t xml:space="preserve">Given 已生成候选 Plan V2；When 查看 Diff；Then 地点、时间、路线、费用与关怀指标的保留/删除/新增可见；接受后旧 CURRENT→SUPERSEDED、V2→CURRENT；拒绝后 V2→REJECTED 且 V1 与执行状态不变。</x:t>
  </x:si>
  <x:si>
    <x:t xml:space="preserve">产品Backlog!第 16 行</x:t>
  </x:si>
  <x:si>
    <x:t xml:space="preserve">Given 行程进入 COMPLETED；When 打开基础总结；Then 展示计划费用、实际费用、差额、完成/跳过任务、当前及历史版本变化并追溯到事件；无 V2 时明确仅执行 V1；Sprint1 不要求照片时间线。</x:t>
  </x:si>
  <x:si>
    <x:t xml:space="preserve">产品Backlog!第 17 行</x:t>
  </x:si>
  <x:si>
    <x:t xml:space="preserve">Given 公网 HTTPS 地址与固定祖孙/亲子北京案例；When 在桌面与 375px 手机端演示；Then 全链风格一致且无横向滚动，并在 90 秒内跑通 AssistanceProfile→Plan V1→实际多花 50 元→Plan V2→接受或拒绝→总结。</x:t>
  </x:si>
  <x:si>
    <x:t xml:space="preserve">产品Backlog!第 18 行</x:t>
  </x:si>
  <x:si>
    <x:t xml:space="preserve">12 条 Sprint1 PBI</x:t>
  </x:si>
  <x:si>
    <x:t xml:space="preserve">明确保留到后续 Sprint / 候选池的内容（不得偷放入 Sprint1）</x:t>
  </x:si>
  <x:si>
    <x:t xml:space="preserve">保留位置</x:t>
  </x:si>
  <x:si>
    <x:t xml:space="preserve">内容</x:t>
  </x:si>
  <x:si>
    <x:t xml:space="preserve">排除原因</x:t>
  </x:si>
  <x:si>
    <x:t xml:space="preserve">Sprint2</x:t>
  </x:si>
  <x:si>
    <x:t xml:space="preserve">PBI-07-A</x:t>
  </x:si>
  <x:si>
    <x:t xml:space="preserve">2—3 人成员卡与硬冲突</x:t>
  </x:si>
  <x:si>
    <x:t xml:space="preserve">多人能力保留到 Sprint2。</x:t>
  </x:si>
  <x:si>
    <x:t xml:space="preserve">PBI-08-A</x:t>
  </x:si>
  <x:si>
    <x:t xml:space="preserve">公平评分与唯一多人推荐</x:t>
  </x:si>
  <x:si>
    <x:t xml:space="preserve">多人公平算法保留到 Sprint2。</x:t>
  </x:si>
  <x:si>
    <x:t xml:space="preserve">PBI-09-A</x:t>
  </x:si>
  <x:si>
    <x:t xml:space="preserve">一次性 GPS 到达辅助确认</x:t>
  </x:si>
  <x:si>
    <x:t xml:space="preserve">GPS 到达辅助不得进入 Sprint1。</x:t>
  </x:si>
  <x:si>
    <x:t xml:space="preserve">PBI-10-A</x:t>
  </x:si>
  <x:si>
    <x:t xml:space="preserve">任务照片与媒体管理</x:t>
  </x:si>
  <x:si>
    <x:t xml:space="preserve">任务照片不得进入 Sprint1。</x:t>
  </x:si>
  <x:si>
    <x:t xml:space="preserve">PBI-11-A</x:t>
  </x:si>
  <x:si>
    <x:t xml:space="preserve">多人复用执行与版本服务</x:t>
  </x:si>
  <x:si>
    <x:t xml:space="preserve">1/2/3 人统一执行在 Sprint2 接通。</x:t>
  </x:si>
  <x:si>
    <x:t xml:space="preserve">PBI-11-B</x:t>
  </x:si>
  <x:si>
    <x:t xml:space="preserve">迟到与疲劳事件驱动重规划</x:t>
  </x:si>
  <x:si>
    <x:t xml:space="preserve">迟到/疲劳事件不得进入 Sprint1。</x:t>
  </x:si>
  <x:si>
    <x:t xml:space="preserve">PBI-12-A</x:t>
  </x:si>
  <x:si>
    <x:t xml:space="preserve">旅行回忆页</x:t>
  </x:si>
  <x:si>
    <x:t xml:space="preserve">含照片时间线的完整旅行回忆页不得进入 Sprint1。</x:t>
  </x:si>
  <x:si>
    <x:t xml:space="preserve">PBI-13-S2</x:t>
  </x:si>
  <x:si>
    <x:t xml:space="preserve">公网响应式与视觉系统（S2）</x:t>
  </x:si>
  <x:si>
    <x:t xml:space="preserve">到达/照片/状态反馈/回忆组件在 Sprint2。</x:t>
  </x:si>
  <x:si>
    <x:t xml:space="preserve">Sprint3</x:t>
  </x:si>
  <x:si>
    <x:t xml:space="preserve">PBI-13-S3</x:t>
  </x:si>
  <x:si>
    <x:t xml:space="preserve">最终响应式、可访问性与视觉 QA</x:t>
  </x:si>
  <x:si>
    <x:t xml:space="preserve">最终交付质量工作不计入 Sprint1。</x:t>
  </x:si>
  <x:si>
    <x:t xml:space="preserve">PBI-14-A</x:t>
  </x:si>
  <x:si>
    <x:t xml:space="preserve">故障、权限与未知事实降级</x:t>
  </x:si>
  <x:si>
    <x:t xml:space="preserve">完整降级矩阵保留到 Sprint3。</x:t>
  </x:si>
  <x:si>
    <x:t xml:space="preserve">PBI-15-A</x:t>
  </x:si>
  <x:si>
    <x:t xml:space="preserve">自动化测试与质量门禁</x:t>
  </x:si>
  <x:si>
    <x:t xml:space="preserve">全量门禁与覆盖率指标保留到 Sprint3。</x:t>
  </x:si>
  <x:si>
    <x:t xml:space="preserve">PBI-15-B</x:t>
  </x:si>
  <x:si>
    <x:t xml:space="preserve">部署、交付与答辩证据</x:t>
  </x:si>
  <x:si>
    <x:t xml:space="preserve">正式 RC 与答辩归档保留到 Sprint3。</x:t>
  </x:si>
  <x:si>
    <x:t xml:space="preserve">PBI-16-A</x:t>
  </x:si>
  <x:si>
    <x:t xml:space="preserve">三城完整端到端验证</x:t>
  </x:si>
  <x:si>
    <x:t xml:space="preserve">三城完整链是 Sprint3 验收。</x:t>
  </x:si>
  <x:si>
    <x:t xml:space="preserve">PBI-16-B</x:t>
  </x:si>
  <x:si>
    <x:t xml:space="preserve">两城在线烟测</x:t>
  </x:si>
  <x:si>
    <x:t xml:space="preserve">西安/杭州烟测是 Sprint3 验收。</x:t>
  </x:si>
  <x:si>
    <x:t xml:space="preserve">PBI-17-A</x:t>
  </x:si>
  <x:si>
    <x:t xml:space="preserve">多日 Schema 兼容</x:t>
  </x:si>
  <x:si>
    <x:t xml:space="preserve">Sprint3 Should/stretch，不占 Sprint1。</x:t>
  </x:si>
  <x:si>
    <x:t xml:space="preserve">P1</x:t>
  </x:si>
  <x:si>
    <x:t xml:space="preserve">PBI-18-P1</x:t>
  </x:si>
  <x:si>
    <x:t xml:space="preserve">均衡与省钱双方案</x:t>
  </x:si>
  <x:si>
    <x:t xml:space="preserve">双方案属于 P1；Sprint1 只交付唯一推荐。</x:t>
  </x:si>
  <x:si>
    <x:t xml:space="preserve">PBI-19-P1</x:t>
  </x:si>
  <x:si>
    <x:t xml:space="preserve">美团旅行 Skill 可拔插验证</x:t>
  </x:si>
  <x:si>
    <x:t xml:space="preserve">美团 Skill 属于 P1，不占 Sprint1。</x:t>
  </x:si>
  <x:si>
    <x:t xml:space="preserve">Future</x:t>
  </x:si>
  <x:si>
    <x:t xml:space="preserve">PBI-20-F1</x:t>
  </x:si>
  <x:si>
    <x:t xml:space="preserve">成员通过链接独立加入</x:t>
  </x:si>
  <x:si>
    <x:t xml:space="preserve">Future 候选，不进入三个核心 Sprint。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</x:si>
</x:sst>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5">
    <x:font>
      <x:sz val="12"/>
      <x:name val="宋体"/>
    </x:font>
    <x:font>
      <x:b/>
      <x:sz val="17"/>
      <x:color rgb="FFFFFFFF"/>
      <x:name val="Microsoft YaHei"/>
    </x:font>
    <x:font>
      <x:b/>
      <x:sz val="11"/>
      <x:color rgb="FF111827"/>
      <x:name val="Microsoft YaHei"/>
    </x:font>
    <x:font>
      <x:sz val="9"/>
      <x:color rgb="FF1F2937"/>
      <x:name val="Microsoft YaHei"/>
    </x:font>
    <x:font>
      <x:b/>
      <x:sz val="10"/>
      <x:color rgb="FF111827"/>
      <x:name val="Microsoft YaHei"/>
    </x:font>
    <x:font>
      <x:b/>
      <x:sz val="10"/>
      <x:color rgb="FF1F4E78"/>
      <x:name val="Microsoft YaHei"/>
    </x:font>
    <x:font>
      <x:b/>
      <x:sz val="9"/>
      <x:color rgb="FF1F2937"/>
      <x:name val="Microsoft YaHei"/>
    </x:font>
    <x:font>
      <x:b/>
      <x:sz val="12"/>
      <x:color rgb="FF1F4E78"/>
      <x:name val="Microsoft YaHei"/>
    </x:font>
    <x:font>
      <x:b/>
      <x:sz val="9"/>
      <x:color rgb="FF1F4E78"/>
      <x:name val="Microsoft YaHei"/>
    </x:font>
    <x:font>
      <x:b/>
      <x:sz val="11"/>
      <x:color rgb="FF1F2937"/>
      <x:name val="Microsoft YaHei"/>
    </x:font>
    <x:font>
      <x:b/>
      <x:sz val="18"/>
      <x:color rgb="FFFFFFFF"/>
      <x:name val="Microsoft YaHei"/>
    </x:font>
    <x:font>
      <x:sz val="10"/>
      <x:color rgb="FF1F2937"/>
      <x:name val="Microsoft YaHei"/>
    </x:font>
    <x:font>
      <x:i/>
      <x:sz val="9"/>
      <x:color rgb="FF667085"/>
      <x:name val="Microsoft YaHei"/>
    </x:font>
    <x:font>
      <x:sz val="9"/>
      <x:color rgb="FF667085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9900"/>
      </x:patternFill>
    </x:fill>
    <x:fill>
      <x:patternFill patternType="solid">
        <x:fgColor rgb="FFEEF4FA"/>
      </x:patternFill>
    </x:fill>
    <x:fill>
      <x:patternFill patternType="solid">
        <x:fgColor rgb="FFFFCC00"/>
      </x:patternFill>
    </x:fill>
    <x:fill>
      <x:patternFill patternType="solid">
        <x:fgColor rgb="FFD9EAF7"/>
      </x:patternFill>
    </x:fill>
    <x:fill>
      <x:patternFill patternType="solid">
        <x:fgColor rgb="FFFFF4CC"/>
      </x:patternFill>
    </x:fill>
    <x:fill>
      <x:patternFill patternType="solid">
        <x:fgColor rgb="FFF3F4F6"/>
      </x:patternFill>
    </x:fill>
    <x:fill>
      <x:patternFill patternType="solid">
        <x:fgColor rgb="FFD9F7F7"/>
      </x:patternFill>
    </x:fill>
    <x:fill>
      <x:patternFill patternType="solid">
        <x:fgColor indexed="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2">
    <x:border/>
    <x:border>
      <x:left style="thin">
        <x:color rgb="FFAAB4C0"/>
      </x:left>
      <x:right style="thin">
        <x:color rgb="FFAAB4C0"/>
      </x:right>
      <x:top style="thin">
        <x:color rgb="FFAAB4C0"/>
      </x:top>
      <x:bottom style="thin">
        <x:color rgb="FFAAB4C0"/>
      </x:bottom>
    </x:border>
    <x:border>
      <x:left style="medium">
        <x:color rgb="FF1F4E78"/>
      </x:left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left style="thin">
        <x:color rgb="FFAAB4C0"/>
      </x:left>
      <x:top style="thin">
        <x:color rgb="FFAAB4C0"/>
      </x:top>
    </x:border>
    <x:border>
      <x:top style="thin">
        <x:color rgb="FFAAB4C0"/>
      </x:top>
    </x:border>
    <x:border>
      <x:right style="thin">
        <x:color rgb="FFAAB4C0"/>
      </x:right>
      <x:top style="thin">
        <x:color rgb="FFAAB4C0"/>
      </x:top>
    </x:border>
    <x:border>
      <x:left style="thin">
        <x:color rgb="FFAAB4C0"/>
      </x:left>
      <x:bottom style="thin">
        <x:color rgb="FFAAB4C0"/>
      </x:bottom>
    </x:border>
    <x:border>
      <x:bottom style="thin">
        <x:color rgb="FFAAB4C0"/>
      </x:bottom>
    </x:border>
    <x:border>
      <x:right style="thin">
        <x:color rgb="FFAAB4C0"/>
      </x:right>
      <x:bottom style="thin">
        <x:color rgb="FFAAB4C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AB4C0"/>
      </x:left>
    </x:border>
    <x:border>
      <x:right style="thin">
        <x:color rgb="FFAAB4C0"/>
      </x:right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4" fillId="0" borderId="0" applyFont="0" applyFill="0" applyBorder="0" applyAlignment="0" applyProtection="0">
      <x:alignment vertical="center"/>
    </x:xf>
    <x:xf numFmtId="44" fontId="14" fillId="0" borderId="0" applyFont="0" applyFill="0" applyBorder="0" applyAlignment="0" applyProtection="0">
      <x:alignment vertical="center"/>
    </x:xf>
    <x:xf numFmtId="9" fontId="14" fillId="0" borderId="0" applyFont="0" applyFill="0" applyBorder="0" applyAlignment="0" applyProtection="0">
      <x:alignment vertical="center"/>
    </x:xf>
    <x:xf numFmtId="41" fontId="14" fillId="0" borderId="0" applyFont="0" applyFill="0" applyBorder="0" applyAlignment="0" applyProtection="0">
      <x:alignment vertical="center"/>
    </x:xf>
    <x:xf numFmtId="42" fontId="14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4" fillId="11" borderId="14" applyNumberFormat="0" applyFont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15" applyNumberFormat="0" applyFill="0" applyAlignment="0" applyProtection="0">
      <x:alignment vertical="center"/>
    </x:xf>
    <x:xf numFmtId="0" fontId="21" fillId="0" borderId="15" applyNumberFormat="0" applyFill="0" applyAlignment="0" applyProtection="0">
      <x:alignment vertical="center"/>
    </x:xf>
    <x:xf numFmtId="0" fontId="22" fillId="0" borderId="16" applyNumberFormat="0" applyFill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12" borderId="17" applyNumberFormat="0" applyAlignment="0" applyProtection="0">
      <x:alignment vertical="center"/>
    </x:xf>
    <x:xf numFmtId="0" fontId="24" fillId="13" borderId="18" applyNumberFormat="0" applyAlignment="0" applyProtection="0">
      <x:alignment vertical="center"/>
    </x:xf>
    <x:xf numFmtId="0" fontId="25" fillId="13" borderId="17" applyNumberFormat="0" applyAlignment="0" applyProtection="0">
      <x:alignment vertical="center"/>
    </x:xf>
    <x:xf numFmtId="0" fontId="26" fillId="14" borderId="19" applyNumberFormat="0" applyAlignment="0" applyProtection="0">
      <x:alignment vertical="center"/>
    </x:xf>
    <x:xf numFmtId="0" fontId="27" fillId="0" borderId="20" applyNumberFormat="0" applyFill="0" applyAlignment="0" applyProtection="0">
      <x:alignment vertical="center"/>
    </x:xf>
    <x:xf numFmtId="0" fontId="28" fillId="0" borderId="21" applyNumberFormat="0" applyFill="0" applyAlignment="0" applyProtection="0">
      <x:alignment vertical="center"/>
    </x:xf>
    <x:xf numFmtId="0" fontId="29" fillId="15" borderId="0" applyNumberFormat="0" applyBorder="0" applyAlignment="0" applyProtection="0">
      <x:alignment vertical="center"/>
    </x:xf>
    <x:xf numFmtId="0" fontId="30" fillId="16" borderId="0" applyNumberFormat="0" applyBorder="0" applyAlignment="0" applyProtection="0">
      <x:alignment vertical="center"/>
    </x:xf>
    <x:xf numFmtId="0" fontId="31" fillId="17" borderId="0" applyNumberFormat="0" applyBorder="0" applyAlignment="0" applyProtection="0">
      <x:alignment vertical="center"/>
    </x:xf>
    <x:xf numFmtId="0" fontId="32" fillId="18" borderId="0" applyNumberFormat="0" applyBorder="0" applyAlignment="0" applyProtection="0">
      <x:alignment vertical="center"/>
    </x:xf>
    <x:xf numFmtId="0" fontId="33" fillId="19" borderId="0" applyNumberFormat="0" applyBorder="0" applyAlignment="0" applyProtection="0">
      <x:alignment vertical="center"/>
    </x:xf>
    <x:xf numFmtId="0" fontId="33" fillId="20" borderId="0" applyNumberFormat="0" applyBorder="0" applyAlignment="0" applyProtection="0">
      <x:alignment vertical="center"/>
    </x:xf>
    <x:xf numFmtId="0" fontId="32" fillId="21" borderId="0" applyNumberFormat="0" applyBorder="0" applyAlignment="0" applyProtection="0">
      <x:alignment vertical="center"/>
    </x:xf>
    <x:xf numFmtId="0" fontId="32" fillId="22" borderId="0" applyNumberFormat="0" applyBorder="0" applyAlignment="0" applyProtection="0">
      <x:alignment vertical="center"/>
    </x:xf>
    <x:xf numFmtId="0" fontId="33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32" fillId="25" borderId="0" applyNumberFormat="0" applyBorder="0" applyAlignment="0" applyProtection="0">
      <x:alignment vertical="center"/>
    </x:xf>
    <x:xf numFmtId="0" fontId="32" fillId="26" borderId="0" applyNumberFormat="0" applyBorder="0" applyAlignment="0" applyProtection="0">
      <x:alignment vertical="center"/>
    </x:xf>
    <x:xf numFmtId="0" fontId="33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32" fillId="29" borderId="0" applyNumberFormat="0" applyBorder="0" applyAlignment="0" applyProtection="0">
      <x:alignment vertical="center"/>
    </x:xf>
    <x:xf numFmtId="0" fontId="32" fillId="30" borderId="0" applyNumberFormat="0" applyBorder="0" applyAlignment="0" applyProtection="0">
      <x:alignment vertical="center"/>
    </x:xf>
    <x:xf numFmtId="0" fontId="33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2" fillId="33" borderId="0" applyNumberFormat="0" applyBorder="0" applyAlignment="0" applyProtection="0">
      <x:alignment vertical="center"/>
    </x:xf>
    <x:xf numFmtId="0" fontId="32" fillId="34" borderId="0" applyNumberFormat="0" applyBorder="0" applyAlignment="0" applyProtection="0">
      <x:alignment vertical="center"/>
    </x:xf>
    <x:xf numFmtId="0" fontId="33" fillId="35" borderId="0" applyNumberFormat="0" applyBorder="0" applyAlignment="0" applyProtection="0">
      <x:alignment vertical="center"/>
    </x:xf>
    <x:xf numFmtId="0" fontId="33" fillId="36" borderId="0" applyNumberFormat="0" applyBorder="0" applyAlignment="0" applyProtection="0">
      <x:alignment vertical="center"/>
    </x:xf>
    <x:xf numFmtId="0" fontId="32" fillId="37" borderId="0" applyNumberFormat="0" applyBorder="0" applyAlignment="0" applyProtection="0">
      <x:alignment vertical="center"/>
    </x:xf>
    <x:xf numFmtId="0" fontId="32" fillId="38" borderId="0" applyNumberFormat="0" applyBorder="0" applyAlignment="0" applyProtection="0">
      <x:alignment vertical="center"/>
    </x:xf>
    <x:xf numFmtId="0" fontId="33" fillId="39" borderId="0" applyNumberFormat="0" applyBorder="0" applyAlignment="0" applyProtection="0">
      <x:alignment vertical="center"/>
    </x:xf>
    <x:xf numFmtId="0" fontId="33" fillId="40" borderId="0" applyNumberFormat="0" applyBorder="0" applyAlignment="0" applyProtection="0">
      <x:alignment vertical="center"/>
    </x:xf>
    <x:xf numFmtId="0" fontId="32" fillId="41" borderId="0" applyNumberFormat="0" applyBorder="0" applyAlignment="0" applyProtection="0">
      <x:alignment vertical="center"/>
    </x:xf>
  </x:cellStyleXfs>
  <x:cellXfs count="55">
    <x:xf numFmtId="0" fontId="0" fillId="0" borderId="0" xfId="0"/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/>
    <x:xf numFmtId="0" fontId="4" fillId="5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wrapText="1"/>
    </x:xf>
    <x:xf numFmtId="1" fontId="7" fillId="4" borderId="1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1" fontId="3" fillId="4" borderId="1" xfId="0" applyNumberFormat="1" applyFont="1" applyFill="1" applyBorder="1" applyAlignment="1">
      <x:alignment horizontal="center" vertical="center"/>
    </x:xf>
    <x:xf numFmtId="9" fontId="3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3" fillId="8" borderId="7" xfId="0" applyNumberFormat="1" applyFont="1" applyFill="1" applyBorder="1" applyAlignment="1">
      <x:alignment vertical="center" wrapText="1"/>
    </x:xf>
    <x:xf numFmtId="0" fontId="3" fillId="8" borderId="8" xfId="0" applyNumberFormat="1" applyFont="1" applyFill="1" applyBorder="1" applyAlignment="1">
      <x:alignment vertical="center" wrapText="1"/>
    </x:xf>
    <x:xf numFmtId="0" fontId="0" fillId="0" borderId="9" xfId="0" applyBorder="1"/>
    <x:xf numFmtId="0" fontId="0" fillId="0" borderId="10" xfId="0" applyBorder="1"/>
    <x:xf numFmtId="0" fontId="4" fillId="3" borderId="11" xfId="0" applyNumberFormat="1" applyFont="1" applyFill="1" applyBorder="1" applyAlignment="1">
      <x:alignment horizontal="center" vertical="center" wrapText="1"/>
    </x:xf>
    <x:xf numFmtId="0" fontId="9" fillId="0" borderId="11" xfId="0" applyNumberFormat="1" applyFont="1" applyFill="1" applyBorder="1" applyAlignment="1">
      <x:alignment horizontal="center" vertical="center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6" fillId="7" borderId="11" xfId="0" applyNumberFormat="1" applyFont="1" applyFill="1" applyBorder="1" applyAlignment="1">
      <x:alignment horizontal="center" vertical="center" wrapText="1"/>
    </x:xf>
    <x:xf numFmtId="0" fontId="8" fillId="9" borderId="1" xfId="0" applyNumberFormat="1" applyFont="1" applyFill="1" applyBorder="1" applyAlignment="1">
      <x:alignment horizontal="center"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1" fontId="3" fillId="0" borderId="1" xfId="0" applyNumberFormat="1" applyFont="1" applyFill="1" applyBorder="1" applyAlignment="1">
      <x:alignment horizontal="center" vertical="center" wrapText="1"/>
    </x:xf>
    <x:xf numFmtId="1" fontId="3" fillId="4" borderId="1" xfId="0" applyNumberFormat="1" applyFont="1" applyFill="1" applyBorder="1" applyAlignment="1">
      <x:alignment horizontal="center" vertical="center" wrapText="1"/>
    </x:xf>
    <x:xf numFmtId="1" fontId="3" fillId="7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10" borderId="0" xfId="0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5" fillId="6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 wrapText="1"/>
    </x:xf>
    <x:xf numFmtId="0" fontId="11" fillId="4" borderId="3" xfId="0" applyNumberFormat="1" applyFont="1" applyFill="1" applyBorder="1" applyAlignment="1">
      <x:alignment vertical="center" wrapText="1"/>
    </x:xf>
    <x:xf numFmtId="0" fontId="11" fillId="4" borderId="4" xfId="0" applyNumberFormat="1" applyFont="1" applyFill="1" applyBorder="1" applyAlignment="1">
      <x:alignment vertical="center" wrapText="1"/>
    </x:xf>
    <x:xf numFmtId="0" fontId="11" fillId="4" borderId="5" xfId="0" applyNumberFormat="1" applyFont="1" applyFill="1" applyBorder="1" applyAlignment="1">
      <x:alignment vertical="center" wrapText="1"/>
    </x:xf>
    <x:xf numFmtId="0" fontId="11" fillId="4" borderId="12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13" xfId="0" applyNumberFormat="1" applyFont="1" applyFill="1" applyBorder="1" applyAlignment="1">
      <x:alignment vertical="center" wrapText="1"/>
    </x:xf>
    <x:xf numFmtId="0" fontId="11" fillId="4" borderId="6" xfId="0" applyNumberFormat="1" applyFont="1" applyFill="1" applyBorder="1" applyAlignment="1">
      <x:alignment vertical="center" wrapText="1"/>
    </x:xf>
    <x:xf numFmtId="0" fontId="11" fillId="4" borderId="7" xfId="0" applyNumberFormat="1" applyFont="1" applyFill="1" applyBorder="1" applyAlignment="1">
      <x:alignment vertical="center" wrapText="1"/>
    </x:xf>
    <x:xf numFmtId="0" fontId="11" fillId="4" borderId="8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left"/>
    </x:xf>
    <x:xf numFmtId="0" fontId="13" fillId="0" borderId="0" xfId="0" applyNumberFormat="1" applyFont="1" applyFill="1" applyBorder="1" applyAlignment="1">
      <x:alignment horizontal="left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20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FF4CC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a14182a754f92" /><Relationship Type="http://schemas.openxmlformats.org/officeDocument/2006/relationships/theme" Target="/xl/theme/theme1.xml" Id="Rf2f517400426469a" /><Relationship Type="http://schemas.openxmlformats.org/officeDocument/2006/relationships/sharedStrings" Target="/xl/sharedStrings.xml" Id="R44a9c7481afc47d4" /><Relationship Type="http://schemas.openxmlformats.org/officeDocument/2006/relationships/worksheet" Target="/xl/worksheets/sheet1.xml" Id="R7b01f6a509ce46db" /><Relationship Type="http://schemas.openxmlformats.org/officeDocument/2006/relationships/worksheet" Target="/xl/worksheets/sheet2.xml" Id="Rc786b67adf9140b1" /><Relationship Type="http://schemas.openxmlformats.org/officeDocument/2006/relationships/worksheet" Target="/xl/worksheets/sheet3.xml" Id="R581c27ea078641d9" /><Relationship Type="http://schemas.openxmlformats.org/officeDocument/2006/relationships/worksheet" Target="/xl/worksheets/sheet4.xml" Id="R01e5e93e6c44483e" /><Relationship Type="http://schemas.microsoft.com/office/2017/10/relationships/person" Target="/xl/persons/person.xml" Id="R2d53f1ccde554b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08438f6d804115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Sprint 1 剩余工时燃尽（计划 vs 实际）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"计划剩余"</c:f>
              <c:strCache>
                <c:ptCount val="1"/>
                <c:pt idx="0">
                  <c:v>计划剩余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燃尽图!$A$22:$A$25</c:f>
              <c:strCache>
                <c:ptCount val="4"/>
                <c:pt idx="0">
                  <c:v>Sprint 开始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</c:strCache>
            </c:strRef>
          </c:cat>
          <c:val>
            <c:numRef>
              <c:f>燃尽图!$B$22:$B$25</c:f>
              <c:numCache>
                <c:formatCode>0</c:formatCode>
                <c:ptCount val="4"/>
                <c:pt idx="0">
                  <c:v>48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"实际剩余"</c:f>
              <c:strCache>
                <c:ptCount val="1"/>
                <c:pt idx="0">
                  <c:v>实际剩余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燃尽图!$A$22:$A$25</c:f>
              <c:strCache>
                <c:ptCount val="4"/>
                <c:pt idx="0">
                  <c:v>Sprint 开始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</c:strCache>
            </c:strRef>
          </c:cat>
          <c:val>
            <c:numRef>
              <c:f>燃尽图!$C$22:$C$25</c:f>
              <c:numCache>
                <c:formatCode>0</c:formatCode>
                <c:ptCount val="4"/>
                <c:pt idx="0">
                  <c:v>48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675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  <c:max val="4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20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08438f6d80411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作者" id="{D0CF6DBD-0572-B7D5-0EF1-C03B56F0193B}"/>
</xltc: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9f6ba5536f849a4" /><Relationship Type="http://schemas.openxmlformats.org/officeDocument/2006/relationships/vmlDrawing" Target="/xl/drawings/vmldrawing.vml" Id="R8ab7eca6ce0e4c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36b039666a84f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8" width="18" style="40" customWidth="1"/>
    <x:col min="9" max="16384" width="9" style="40" customWidth="0"/>
  </x:cols>
  <x:sheetData>
    <x:row r="1" ht="30" customHeight="1">
      <x:c r="A1" s="41" t="s">
        <x:v>0</x:v>
      </x:c>
      <x:c r="B1" s="41" t="s">
        <x:v>0</x:v>
      </x:c>
      <x:c r="C1" s="41" t="s">
        <x:v>0</x:v>
      </x:c>
      <x:c r="D1" s="41" t="s">
        <x:v>0</x:v>
      </x:c>
      <x:c r="E1" s="41" t="s">
        <x:v>0</x:v>
      </x:c>
      <x:c r="F1" s="41" t="s">
        <x:v>0</x:v>
      </x:c>
      <x:c r="G1" s="41" t="s">
        <x:v>0</x:v>
      </x:c>
      <x:c r="H1" s="41" t="s">
        <x:v>0</x:v>
      </x:c>
    </x:row>
    <x:row r="3" ht="30" customHeight="1">
      <x:c r="A3" s="42" t="s">
        <x:v>1</x:v>
      </x:c>
      <x:c r="B3" s="43" t="s">
        <x:v>2</x:v>
      </x:c>
      <x:c r="C3" s="43"/>
      <x:c r="D3" s="43"/>
      <x:c r="E3" s="43"/>
      <x:c r="F3" s="43"/>
      <x:c r="G3" s="43"/>
      <x:c r="H3" s="43"/>
    </x:row>
    <x:row r="4" ht="30" customHeight="1">
      <x:c r="A4" s="42" t="s">
        <x:v>3</x:v>
      </x:c>
      <x:c r="B4" s="43" t="s">
        <x:v>4</x:v>
      </x:c>
      <x:c r="C4" s="43"/>
      <x:c r="D4" s="43"/>
      <x:c r="E4" s="43"/>
      <x:c r="F4" s="43"/>
      <x:c r="G4" s="43"/>
      <x:c r="H4" s="43"/>
    </x:row>
    <x:row r="5" ht="30" customHeight="1">
      <x:c r="A5" s="42" t="s">
        <x:v>5</x:v>
      </x:c>
      <x:c r="B5" s="43" t="s">
        <x:v>6</x:v>
      </x:c>
      <x:c r="C5" s="43"/>
      <x:c r="D5" s="43"/>
      <x:c r="E5" s="43"/>
      <x:c r="F5" s="43"/>
      <x:c r="G5" s="43"/>
      <x:c r="H5" s="43"/>
    </x:row>
    <x:row r="6" ht="30" customHeight="1">
      <x:c r="A6" s="42" t="s">
        <x:v>7</x:v>
      </x:c>
      <x:c r="B6" s="43" t="s">
        <x:v>8</x:v>
      </x:c>
      <x:c r="C6" s="43"/>
      <x:c r="D6" s="43"/>
      <x:c r="E6" s="43"/>
      <x:c r="F6" s="43"/>
      <x:c r="G6" s="43"/>
      <x:c r="H6" s="43"/>
    </x:row>
    <x:row r="7" ht="30" customHeight="1">
      <x:c r="A7" s="42" t="s">
        <x:v>9</x:v>
      </x:c>
      <x:c r="B7" s="43" t="s">
        <x:v>10</x:v>
      </x:c>
      <x:c r="C7" s="43"/>
      <x:c r="D7" s="43"/>
      <x:c r="E7" s="43"/>
      <x:c r="F7" s="43"/>
      <x:c r="G7" s="43"/>
      <x:c r="H7" s="43"/>
    </x:row>
    <x:row r="8" ht="30" customHeight="1">
      <x:c r="A8" s="42" t="s">
        <x:v>11</x:v>
      </x:c>
      <x:c r="B8" s="43" t="s">
        <x:v>12</x:v>
      </x:c>
      <x:c r="C8" s="43"/>
      <x:c r="D8" s="43"/>
      <x:c r="E8" s="43"/>
      <x:c r="F8" s="43"/>
      <x:c r="G8" s="43"/>
      <x:c r="H8" s="43"/>
    </x:row>
    <x:row r="9" ht="30" customHeight="1">
      <x:c r="A9" s="42" t="s">
        <x:v>13</x:v>
      </x:c>
      <x:c r="B9" s="43" t="s">
        <x:v>14</x:v>
      </x:c>
      <x:c r="C9" s="43"/>
      <x:c r="D9" s="43"/>
      <x:c r="E9" s="43"/>
      <x:c r="F9" s="43"/>
      <x:c r="G9" s="43"/>
      <x:c r="H9" s="43"/>
    </x:row>
    <x:row r="11" ht="32" customHeight="1">
      <x:c r="A11" s="44" t="s">
        <x:v>15</x:v>
      </x:c>
      <x:c r="B11" s="45" t="s">
        <x:v>15</x:v>
      </x:c>
      <x:c r="C11" s="45" t="s">
        <x:v>15</x:v>
      </x:c>
      <x:c r="D11" s="45" t="s">
        <x:v>15</x:v>
      </x:c>
      <x:c r="E11" s="45" t="s">
        <x:v>15</x:v>
      </x:c>
      <x:c r="F11" s="45" t="s">
        <x:v>15</x:v>
      </x:c>
      <x:c r="G11" s="45" t="s">
        <x:v>15</x:v>
      </x:c>
      <x:c r="H11" s="46" t="s">
        <x:v>15</x:v>
      </x:c>
    </x:row>
    <x:row r="12" ht="32" customHeight="1">
      <x:c r="A12" s="47" t="s">
        <x:v>15</x:v>
      </x:c>
      <x:c r="B12" s="48" t="s">
        <x:v>15</x:v>
      </x:c>
      <x:c r="C12" s="48" t="s">
        <x:v>15</x:v>
      </x:c>
      <x:c r="D12" s="48" t="s">
        <x:v>15</x:v>
      </x:c>
      <x:c r="E12" s="48" t="s">
        <x:v>15</x:v>
      </x:c>
      <x:c r="F12" s="48" t="s">
        <x:v>15</x:v>
      </x:c>
      <x:c r="G12" s="48" t="s">
        <x:v>15</x:v>
      </x:c>
      <x:c r="H12" s="49" t="s">
        <x:v>15</x:v>
      </x:c>
    </x:row>
    <x:row r="13" ht="32" customHeight="1">
      <x:c r="A13" s="50" t="s">
        <x:v>15</x:v>
      </x:c>
      <x:c r="B13" s="51" t="s">
        <x:v>15</x:v>
      </x:c>
      <x:c r="C13" s="51" t="s">
        <x:v>15</x:v>
      </x:c>
      <x:c r="D13" s="51" t="s">
        <x:v>15</x:v>
      </x:c>
      <x:c r="E13" s="51" t="s">
        <x:v>15</x:v>
      </x:c>
      <x:c r="F13" s="51" t="s">
        <x:v>15</x:v>
      </x:c>
      <x:c r="G13" s="51" t="s">
        <x:v>15</x:v>
      </x:c>
      <x:c r="H13" s="52" t="s">
        <x:v>15</x:v>
      </x:c>
    </x:row>
    <x:row r="15">
      <x:c r="A15" s="53" t="s">
        <x:v>16</x:v>
      </x:c>
      <x:c r="B15" s="53" t="s">
        <x:v>16</x:v>
      </x:c>
      <x:c r="C15" s="53" t="s">
        <x:v>16</x:v>
      </x:c>
      <x:c r="D15" s="53" t="s">
        <x:v>16</x:v>
      </x:c>
      <x:c r="E15" s="53" t="s">
        <x:v>16</x:v>
      </x:c>
      <x:c r="F15" s="53" t="s">
        <x:v>16</x:v>
      </x:c>
      <x:c r="G15" s="53" t="s">
        <x:v>16</x:v>
      </x:c>
      <x:c r="H15" s="53" t="s">
        <x:v>16</x:v>
      </x:c>
    </x:row>
    <x:row r="16">
      <x:c r="A16" s="53" t="s">
        <x:v>17</x:v>
      </x:c>
      <x:c r="B16" s="53" t="s">
        <x:v>17</x:v>
      </x:c>
      <x:c r="C16" s="53" t="s">
        <x:v>17</x:v>
      </x:c>
      <x:c r="D16" s="53" t="s">
        <x:v>17</x:v>
      </x:c>
      <x:c r="E16" s="53" t="s">
        <x:v>17</x:v>
      </x:c>
      <x:c r="F16" s="53" t="s">
        <x:v>17</x:v>
      </x:c>
      <x:c r="G16" s="53" t="s">
        <x:v>17</x:v>
      </x:c>
      <x:c r="H16" s="53" t="s">
        <x:v>17</x:v>
      </x:c>
    </x:row>
    <x:row r="17">
      <x:c r="A17" s="54" t="s">
        <x:v>18</x:v>
      </x:c>
      <x:c r="B17" s="54" t="s">
        <x:v>18</x:v>
      </x:c>
      <x:c r="C17" s="54" t="s">
        <x:v>18</x:v>
      </x:c>
      <x:c r="D17" s="54" t="s">
        <x:v>18</x:v>
      </x:c>
      <x:c r="E17" s="54" t="s">
        <x:v>18</x:v>
      </x:c>
      <x:c r="F17" s="54" t="s">
        <x:v>18</x:v>
      </x:c>
      <x:c r="G17" s="54" t="s">
        <x:v>18</x:v>
      </x:c>
      <x:c r="H17" s="54" t="s">
        <x:v>18</x:v>
      </x:c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A15:H15"/>
    <x:mergeCell ref="A16:H16"/>
    <x:mergeCell ref="A17:H17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2" width="12" style="28" customWidth="1"/>
    <x:col min="3" max="3" width="11" style="28" customWidth="1"/>
    <x:col min="4" max="4" width="25" style="28" customWidth="1"/>
    <x:col min="5" max="5" width="40" style="28" customWidth="1"/>
    <x:col min="6" max="6" width="9" style="28" customWidth="1"/>
    <x:col min="7" max="7" width="12" style="28" customWidth="1"/>
    <x:col min="8" max="8" width="9" style="28" customWidth="1"/>
    <x:col min="9" max="9" width="10" style="28" customWidth="1"/>
    <x:col min="10" max="10" width="17" style="28" customWidth="1"/>
    <x:col min="11" max="11" width="10" style="28" customWidth="1"/>
    <x:col min="12" max="12" width="31" style="28" customWidth="1"/>
    <x:col min="13" max="13" width="10" style="28" customWidth="1"/>
    <x:col min="14" max="14" width="44" style="28" customWidth="1"/>
    <x:col min="15" max="15" width="28" style="29" customWidth="1"/>
    <x:col min="16" max="21" width="10" style="28" customWidth="1"/>
    <x:col min="22" max="22" width="14" style="28" customWidth="1"/>
    <x:col min="23" max="16384" width="9" style="28" customWidth="0"/>
  </x:cols>
  <x:sheetData>
    <x:row r="1" ht="21" customHeight="1">
      <x:c r="A1" s="30" t="s">
        <x:v>19</x:v>
      </x:c>
      <x:c r="B1" s="30" t="s">
        <x:v>20</x:v>
      </x:c>
      <x:c r="C1" s="30" t="s">
        <x:v>21</x:v>
      </x:c>
      <x:c r="D1" s="30" t="s">
        <x:v>22</x:v>
      </x:c>
      <x:c r="E1" s="30" t="s">
        <x:v>23</x:v>
      </x:c>
      <x:c r="F1" s="30" t="s">
        <x:v>24</x:v>
      </x:c>
      <x:c r="G1" s="30" t="s">
        <x:v>25</x:v>
      </x:c>
      <x:c r="H1" s="30" t="s">
        <x:v>26</x:v>
      </x:c>
      <x:c r="I1" s="30" t="s">
        <x:v>27</x:v>
      </x:c>
      <x:c r="J1" s="30" t="s">
        <x:v>28</x:v>
      </x:c>
      <x:c r="K1" s="30" t="s">
        <x:v>29</x:v>
      </x:c>
      <x:c r="L1" s="30" t="s">
        <x:v>30</x:v>
      </x:c>
      <x:c r="M1" s="30" t="s">
        <x:v>31</x:v>
      </x:c>
      <x:c r="N1" s="30" t="s">
        <x:v>32</x:v>
      </x:c>
      <x:c r="O1" s="30" t="s">
        <x:v>33</x:v>
      </x:c>
      <x:c r="P1" s="31" t="s">
        <x:v>34</x:v>
      </x:c>
      <x:c r="Q1" s="31" t="s">
        <x:v>34</x:v>
      </x:c>
      <x:c r="R1" s="31" t="s">
        <x:v>34</x:v>
      </x:c>
      <x:c r="S1" s="31" t="s">
        <x:v>34</x:v>
      </x:c>
      <x:c r="T1" s="31" t="s">
        <x:v>34</x:v>
      </x:c>
      <x:c r="U1" s="31" t="s">
        <x:v>34</x:v>
      </x:c>
      <x:c r="V1" s="30" t="s">
        <x:v>35</x:v>
      </x:c>
    </x:row>
    <x:row r="2" ht="21" customHeight="1">
      <x:c r="A2" s="30" t="s">
        <x:v>19</x:v>
      </x:c>
      <x:c r="B2" s="30" t="s">
        <x:v>20</x:v>
      </x:c>
      <x:c r="C2" s="30" t="s">
        <x:v>21</x:v>
      </x:c>
      <x:c r="D2" s="30" t="s">
        <x:v>22</x:v>
      </x:c>
      <x:c r="E2" s="30" t="s">
        <x:v>23</x:v>
      </x:c>
      <x:c r="F2" s="30" t="s">
        <x:v>24</x:v>
      </x:c>
      <x:c r="G2" s="30" t="s">
        <x:v>25</x:v>
      </x:c>
      <x:c r="H2" s="30" t="s">
        <x:v>26</x:v>
      </x:c>
      <x:c r="I2" s="30" t="s">
        <x:v>27</x:v>
      </x:c>
      <x:c r="J2" s="30" t="s">
        <x:v>28</x:v>
      </x:c>
      <x:c r="K2" s="30" t="s">
        <x:v>29</x:v>
      </x:c>
      <x:c r="L2" s="30" t="s">
        <x:v>30</x:v>
      </x:c>
      <x:c r="M2" s="30" t="s">
        <x:v>31</x:v>
      </x:c>
      <x:c r="N2" s="30" t="s">
        <x:v>32</x:v>
      </x:c>
      <x:c r="O2" s="30" t="s">
        <x:v>33</x:v>
      </x:c>
      <x:c r="P2" s="32" t="s">
        <x:v>36</x:v>
      </x:c>
      <x:c r="Q2" s="33" t="s">
        <x:v>37</x:v>
      </x:c>
      <x:c r="R2" s="32" t="s">
        <x:v>38</x:v>
      </x:c>
      <x:c r="S2" s="33" t="s">
        <x:v>39</x:v>
      </x:c>
      <x:c r="T2" s="32" t="s">
        <x:v>40</x:v>
      </x:c>
      <x:c r="U2" s="33" t="s">
        <x:v>41</x:v>
      </x:c>
      <x:c r="V2" s="30" t="s">
        <x:v>35</x:v>
      </x:c>
    </x:row>
    <x:row r="3" ht="21" customHeight="1">
      <x:c r="A3" s="30" t="s">
        <x:v>19</x:v>
      </x:c>
      <x:c r="B3" s="30" t="s">
        <x:v>20</x:v>
      </x:c>
      <x:c r="C3" s="30" t="s">
        <x:v>21</x:v>
      </x:c>
      <x:c r="D3" s="30" t="s">
        <x:v>22</x:v>
      </x:c>
      <x:c r="E3" s="30" t="s">
        <x:v>23</x:v>
      </x:c>
      <x:c r="F3" s="30" t="s">
        <x:v>24</x:v>
      </x:c>
      <x:c r="G3" s="30" t="s">
        <x:v>25</x:v>
      </x:c>
      <x:c r="H3" s="30" t="s">
        <x:v>26</x:v>
      </x:c>
      <x:c r="I3" s="30" t="s">
        <x:v>27</x:v>
      </x:c>
      <x:c r="J3" s="30" t="s">
        <x:v>28</x:v>
      </x:c>
      <x:c r="K3" s="30" t="s">
        <x:v>29</x:v>
      </x:c>
      <x:c r="L3" s="30" t="s">
        <x:v>30</x:v>
      </x:c>
      <x:c r="M3" s="30" t="s">
        <x:v>31</x:v>
      </x:c>
      <x:c r="N3" s="30" t="s">
        <x:v>32</x:v>
      </x:c>
      <x:c r="O3" s="30" t="s">
        <x:v>33</x:v>
      </x:c>
      <x:c r="P3" s="32" t="s">
        <x:v>36</x:v>
      </x:c>
      <x:c r="Q3" s="33" t="s">
        <x:v>37</x:v>
      </x:c>
      <x:c r="R3" s="32" t="s">
        <x:v>38</x:v>
      </x:c>
      <x:c r="S3" s="33" t="s">
        <x:v>39</x:v>
      </x:c>
      <x:c r="T3" s="32" t="s">
        <x:v>40</x:v>
      </x:c>
      <x:c r="U3" s="33" t="s">
        <x:v>41</x:v>
      </x:c>
      <x:c r="V3" s="30" t="s">
        <x:v>35</x:v>
      </x:c>
    </x:row>
    <x:row r="4" ht="21" customHeight="1">
      <x:c r="A4" s="30" t="s">
        <x:v>19</x:v>
      </x:c>
      <x:c r="B4" s="30" t="s">
        <x:v>20</x:v>
      </x:c>
      <x:c r="C4" s="30" t="s">
        <x:v>21</x:v>
      </x:c>
      <x:c r="D4" s="30" t="s">
        <x:v>22</x:v>
      </x:c>
      <x:c r="E4" s="30" t="s">
        <x:v>23</x:v>
      </x:c>
      <x:c r="F4" s="30" t="s">
        <x:v>24</x:v>
      </x:c>
      <x:c r="G4" s="30" t="s">
        <x:v>25</x:v>
      </x:c>
      <x:c r="H4" s="30" t="n">
        <x:f t="shared" ref="H4:Q4" si="0">SUM(H5:H28)</x:f>
        <x:v>48</x:v>
      </x:c>
      <x:c r="I4" s="30">
        <x:f t="shared" si="0"/>
        <x:v>0</x:v>
      </x:c>
      <x:c r="J4" s="30">
        <x:f t="shared" si="0"/>
        <x:v>0</x:v>
      </x:c>
      <x:c r="K4" s="30">
        <x:f t="shared" si="0"/>
        <x:v>0</x:v>
      </x:c>
      <x:c r="L4" s="30">
        <x:f t="shared" si="0"/>
        <x:v>0</x:v>
      </x:c>
      <x:c r="M4" s="30">
        <x:f t="shared" si="0"/>
        <x:v>0</x:v>
      </x:c>
      <x:c r="N4" s="30">
        <x:f t="shared" si="0"/>
        <x:v>0</x:v>
      </x:c>
      <x:c r="O4" s="30">
        <x:f t="shared" si="0"/>
        <x:v>0</x:v>
      </x:c>
      <x:c r="P4" s="32">
        <x:f t="shared" si="0"/>
        <x:v>24</x:v>
      </x:c>
      <x:c r="Q4" s="33">
        <x:f t="shared" si="0"/>
        <x:v>24</x:v>
      </x:c>
      <x:c r="R4" s="32" t="s">
        <x:v>38</x:v>
      </x:c>
      <x:c r="S4" s="33" t="s">
        <x:v>39</x:v>
      </x:c>
      <x:c r="T4" s="32" t="s">
        <x:v>40</x:v>
      </x:c>
      <x:c r="U4" s="33" t="s">
        <x:v>41</x:v>
      </x:c>
      <x:c r="V4" s="30" t="s">
        <x:v>35</x:v>
      </x:c>
    </x:row>
    <x:row r="5" ht="66" customHeight="1">
      <x:c r="A5" s="5" t="s">
        <x:v>42</x:v>
      </x:c>
      <x:c r="B5" s="34" t="s">
        <x:v>43</x:v>
      </x:c>
      <x:c r="C5" s="34" t="s">
        <x:v>44</x:v>
      </x:c>
      <x:c r="D5" s="35" t="s">
        <x:v>45</x:v>
      </x:c>
      <x:c r="E5" s="6" t="s">
        <x:v>46</x:v>
      </x:c>
      <x:c r="F5" s="5" t="s">
        <x:v>47</x:v>
      </x:c>
      <x:c r="G5" s="36">
        <x:v>3</x:v>
      </x:c>
      <x:c r="H5" s="36">
        <x:v>2</x:v>
      </x:c>
      <x:c r="I5" s="5" t="s">
        <x:v>48</x:v>
      </x:c>
      <x:c r="J5" s="5" t="s">
        <x:v>49</x:v>
      </x:c>
      <x:c r="K5" s="5" t="s">
        <x:v>50</x:v>
      </x:c>
      <x:c r="L5" s="5" t="s">
        <x:v>51</x:v>
      </x:c>
      <x:c r="M5" s="5" t="str">
        <x:v>已完成</x:v>
      </x:c>
      <x:c r="N5" s="6" t="s">
        <x:v>52</x:v>
      </x:c>
      <x:c r="O5" s="6" t="s">
        <x:v>53</x:v>
      </x:c>
      <x:c r="P5" s="37" t="n">
        <x:f t="shared" ref="P5:P28" si="1">IF($I5="Day1",0,$H5)</x:f>
        <x:v>0</x:v>
      </x:c>
      <x:c r="Q5" s="38">
        <x:v>0</x:v>
      </x:c>
      <x:c r="R5" s="37" t="n">
        <x:f t="shared" ref="R5:R28" si="2">0</x:f>
        <x:v>0</x:v>
      </x:c>
      <x:c r="S5" s="38">
        <x:v>0</x:v>
      </x:c>
      <x:c r="T5" s="37" t="n">
        <x:f t="shared" ref="T5:T28" si="3">0</x:f>
        <x:v>0</x:v>
      </x:c>
      <x:c r="U5" s="38">
        <x:v>0</x:v>
      </x:c>
      <x:c r="V5" s="39" t="str">
        <x:f t="shared" ref="V5:V28" si="4">IF($M5="已完成","完成",IF($M5="阻塞","阻塞",IF($U5=0,"按计划待验收",IF($U5&lt;$H5,"进行中","未开始"))))</x:f>
        <x:v>完成</x:v>
      </x:c>
    </x:row>
    <x:row r="6" ht="66" customHeight="1">
      <x:c r="A6" s="5" t="s">
        <x:v>54</x:v>
      </x:c>
      <x:c r="B6" s="5" t="s">
        <x:v>43</x:v>
      </x:c>
      <x:c r="C6" s="5" t="s">
        <x:v>44</x:v>
      </x:c>
      <x:c r="D6" s="6" t="s">
        <x:v>45</x:v>
      </x:c>
      <x:c r="E6" s="6" t="s">
        <x:v>55</x:v>
      </x:c>
      <x:c r="F6" s="5" t="s">
        <x:v>47</x:v>
      </x:c>
      <x:c r="G6" s="36"/>
      <x:c r="H6" s="36">
        <x:v>2</x:v>
      </x:c>
      <x:c r="I6" s="5" t="s">
        <x:v>48</x:v>
      </x:c>
      <x:c r="J6" s="5" t="s">
        <x:v>42</x:v>
      </x:c>
      <x:c r="K6" s="5" t="s">
        <x:v>56</x:v>
      </x:c>
      <x:c r="L6" s="5" t="s">
        <x:v>57</x:v>
      </x:c>
      <x:c r="M6" s="5" t="str">
        <x:v>已完成</x:v>
      </x:c>
      <x:c r="N6" s="6" t="s">
        <x:v>58</x:v>
      </x:c>
      <x:c r="O6" s="6" t="s">
        <x:v>59</x:v>
      </x:c>
      <x:c r="P6" s="37">
        <x:f t="shared" si="1"/>
        <x:v>0</x:v>
      </x:c>
      <x:c r="Q6" s="38">
        <x:v>0</x:v>
      </x:c>
      <x:c r="R6" s="37">
        <x:f t="shared" si="2"/>
        <x:v>0</x:v>
      </x:c>
      <x:c r="S6" s="38">
        <x:v>0</x:v>
      </x:c>
      <x:c r="T6" s="37">
        <x:f t="shared" si="3"/>
        <x:v>0</x:v>
      </x:c>
      <x:c r="U6" s="38">
        <x:v>0</x:v>
      </x:c>
      <x:c r="V6" s="39" t="str">
        <x:f t="shared" si="4"/>
        <x:v>按计划待验收</x:v>
      </x:c>
    </x:row>
    <x:row r="7" ht="66" customHeight="1">
      <x:c r="A7" s="5" t="s">
        <x:v>60</x:v>
      </x:c>
      <x:c r="B7" s="34" t="s">
        <x:v>61</x:v>
      </x:c>
      <x:c r="C7" s="34" t="s">
        <x:v>62</x:v>
      </x:c>
      <x:c r="D7" s="35" t="s">
        <x:v>63</x:v>
      </x:c>
      <x:c r="E7" s="6" t="s">
        <x:v>64</x:v>
      </x:c>
      <x:c r="F7" s="5" t="s">
        <x:v>47</x:v>
      </x:c>
      <x:c r="G7" s="36">
        <x:v>3</x:v>
      </x:c>
      <x:c r="H7" s="36">
        <x:v>2</x:v>
      </x:c>
      <x:c r="I7" s="5" t="s">
        <x:v>48</x:v>
      </x:c>
      <x:c r="J7" s="5" t="s">
        <x:v>42</x:v>
      </x:c>
      <x:c r="K7" s="5" t="s">
        <x:v>65</x:v>
      </x:c>
      <x:c r="L7" s="5" t="s">
        <x:v>66</x:v>
      </x:c>
      <x:c r="M7" s="5" t="str">
        <x:v>已完成</x:v>
      </x:c>
      <x:c r="N7" s="6" t="s">
        <x:v>67</x:v>
      </x:c>
      <x:c r="O7" s="6" t="s">
        <x:v>68</x:v>
      </x:c>
      <x:c r="P7" s="37">
        <x:f t="shared" si="1"/>
        <x:v>0</x:v>
      </x:c>
      <x:c r="Q7" s="38">
        <x:v>0</x:v>
      </x:c>
      <x:c r="R7" s="37">
        <x:f t="shared" si="2"/>
        <x:v>0</x:v>
      </x:c>
      <x:c r="S7" s="38">
        <x:v>0</x:v>
      </x:c>
      <x:c r="T7" s="37">
        <x:f t="shared" si="3"/>
        <x:v>0</x:v>
      </x:c>
      <x:c r="U7" s="38">
        <x:v>0</x:v>
      </x:c>
      <x:c r="V7" s="39" t="str">
        <x:f t="shared" si="4"/>
        <x:v>按计划待验收</x:v>
      </x:c>
    </x:row>
    <x:row r="8" ht="66" customHeight="1">
      <x:c r="A8" s="5" t="s">
        <x:v>69</x:v>
      </x:c>
      <x:c r="B8" s="5" t="s">
        <x:v>61</x:v>
      </x:c>
      <x:c r="C8" s="5" t="s">
        <x:v>62</x:v>
      </x:c>
      <x:c r="D8" s="6" t="s">
        <x:v>63</x:v>
      </x:c>
      <x:c r="E8" s="6" t="s">
        <x:v>70</x:v>
      </x:c>
      <x:c r="F8" s="5" t="s">
        <x:v>47</x:v>
      </x:c>
      <x:c r="G8" s="36"/>
      <x:c r="H8" s="36">
        <x:v>2</x:v>
      </x:c>
      <x:c r="I8" s="5" t="s">
        <x:v>48</x:v>
      </x:c>
      <x:c r="J8" s="5" t="s">
        <x:v>60</x:v>
      </x:c>
      <x:c r="K8" s="5" t="s">
        <x:v>71</x:v>
      </x:c>
      <x:c r="L8" s="5" t="s">
        <x:v>72</x:v>
      </x:c>
      <x:c r="M8" s="5" t="str">
        <x:v>已完成</x:v>
      </x:c>
      <x:c r="N8" s="6" t="s">
        <x:v>73</x:v>
      </x:c>
      <x:c r="O8" s="6" t="s">
        <x:v>74</x:v>
      </x:c>
      <x:c r="P8" s="37">
        <x:f t="shared" si="1"/>
        <x:v>0</x:v>
      </x:c>
      <x:c r="Q8" s="38">
        <x:v>0</x:v>
      </x:c>
      <x:c r="R8" s="37">
        <x:f t="shared" si="2"/>
        <x:v>0</x:v>
      </x:c>
      <x:c r="S8" s="38">
        <x:v>0</x:v>
      </x:c>
      <x:c r="T8" s="37">
        <x:f t="shared" si="3"/>
        <x:v>0</x:v>
      </x:c>
      <x:c r="U8" s="38">
        <x:v>0</x:v>
      </x:c>
      <x:c r="V8" s="39" t="str">
        <x:f t="shared" si="4"/>
        <x:v>按计划待验收</x:v>
      </x:c>
    </x:row>
    <x:row r="9" ht="66" customHeight="1">
      <x:c r="A9" s="5" t="s">
        <x:v>75</x:v>
      </x:c>
      <x:c r="B9" s="34" t="s">
        <x:v>76</x:v>
      </x:c>
      <x:c r="C9" s="34" t="s">
        <x:v>77</x:v>
      </x:c>
      <x:c r="D9" s="35" t="s">
        <x:v>78</x:v>
      </x:c>
      <x:c r="E9" s="6" t="s">
        <x:v>79</x:v>
      </x:c>
      <x:c r="F9" s="5" t="s">
        <x:v>47</x:v>
      </x:c>
      <x:c r="G9" s="36">
        <x:v>5</x:v>
      </x:c>
      <x:c r="H9" s="36">
        <x:v>2</x:v>
      </x:c>
      <x:c r="I9" s="5" t="s">
        <x:v>48</x:v>
      </x:c>
      <x:c r="J9" s="5" t="s">
        <x:v>42</x:v>
      </x:c>
      <x:c r="K9" s="5" t="s">
        <x:v>56</x:v>
      </x:c>
      <x:c r="L9" s="5" t="s">
        <x:v>80</x:v>
      </x:c>
      <x:c r="M9" s="5" t="str">
        <x:v>已完成</x:v>
      </x:c>
      <x:c r="N9" s="6" t="s">
        <x:v>81</x:v>
      </x:c>
      <x:c r="O9" s="6" t="s">
        <x:v>82</x:v>
      </x:c>
      <x:c r="P9" s="37">
        <x:f t="shared" si="1"/>
        <x:v>0</x:v>
      </x:c>
      <x:c r="Q9" s="38">
        <x:v>0</x:v>
      </x:c>
      <x:c r="R9" s="37">
        <x:f t="shared" si="2"/>
        <x:v>0</x:v>
      </x:c>
      <x:c r="S9" s="38">
        <x:v>0</x:v>
      </x:c>
      <x:c r="T9" s="37">
        <x:f t="shared" si="3"/>
        <x:v>0</x:v>
      </x:c>
      <x:c r="U9" s="38">
        <x:v>0</x:v>
      </x:c>
      <x:c r="V9" s="39" t="str">
        <x:f t="shared" si="4"/>
        <x:v>按计划待验收</x:v>
      </x:c>
    </x:row>
    <x:row r="10" ht="66" customHeight="1">
      <x:c r="A10" s="5" t="s">
        <x:v>83</x:v>
      </x:c>
      <x:c r="B10" s="5" t="s">
        <x:v>76</x:v>
      </x:c>
      <x:c r="C10" s="5" t="s">
        <x:v>77</x:v>
      </x:c>
      <x:c r="D10" s="6" t="s">
        <x:v>78</x:v>
      </x:c>
      <x:c r="E10" s="6" t="s">
        <x:v>84</x:v>
      </x:c>
      <x:c r="F10" s="5" t="s">
        <x:v>47</x:v>
      </x:c>
      <x:c r="G10" s="36"/>
      <x:c r="H10" s="36">
        <x:v>2</x:v>
      </x:c>
      <x:c r="I10" s="5" t="s">
        <x:v>85</x:v>
      </x:c>
      <x:c r="J10" s="5" t="s">
        <x:v>75</x:v>
      </x:c>
      <x:c r="K10" s="5" t="s">
        <x:v>50</x:v>
      </x:c>
      <x:c r="L10" s="5" t="s">
        <x:v>86</x:v>
      </x:c>
      <x:c r="M10" s="5" t="str">
        <x:v>已完成</x:v>
      </x:c>
      <x:c r="N10" s="6" t="s">
        <x:v>87</x:v>
      </x:c>
      <x:c r="O10" s="6" t="s">
        <x:v>88</x:v>
      </x:c>
      <x:c r="P10" s="37">
        <x:f t="shared" si="1"/>
        <x:v>2</x:v>
      </x:c>
      <x:c r="Q10" s="38">
        <x:v>2</x:v>
      </x:c>
      <x:c r="R10" s="37">
        <x:f t="shared" si="2"/>
        <x:v>0</x:v>
      </x:c>
      <x:c r="S10" s="38">
        <x:v>0</x:v>
      </x:c>
      <x:c r="T10" s="37">
        <x:f t="shared" si="3"/>
        <x:v>0</x:v>
      </x:c>
      <x:c r="U10" s="38">
        <x:v>0</x:v>
      </x:c>
      <x:c r="V10" s="39" t="str">
        <x:f t="shared" si="4"/>
        <x:v>按计划待验收</x:v>
      </x:c>
    </x:row>
    <x:row r="11" ht="66" customHeight="1">
      <x:c r="A11" s="5" t="s">
        <x:v>89</x:v>
      </x:c>
      <x:c r="B11" s="34" t="s">
        <x:v>90</x:v>
      </x:c>
      <x:c r="C11" s="34" t="s">
        <x:v>91</x:v>
      </x:c>
      <x:c r="D11" s="35" t="s">
        <x:v>92</x:v>
      </x:c>
      <x:c r="E11" s="6" t="s">
        <x:v>93</x:v>
      </x:c>
      <x:c r="F11" s="5" t="s">
        <x:v>47</x:v>
      </x:c>
      <x:c r="G11" s="36">
        <x:v>5</x:v>
      </x:c>
      <x:c r="H11" s="36">
        <x:v>2</x:v>
      </x:c>
      <x:c r="I11" s="5" t="s">
        <x:v>48</x:v>
      </x:c>
      <x:c r="J11" s="5" t="s">
        <x:v>60</x:v>
      </x:c>
      <x:c r="K11" s="5" t="s">
        <x:v>50</x:v>
      </x:c>
      <x:c r="L11" s="5" t="s">
        <x:v>94</x:v>
      </x:c>
      <x:c r="M11" s="5" t="str">
        <x:v>已完成</x:v>
      </x:c>
      <x:c r="N11" s="6" t="s">
        <x:v>95</x:v>
      </x:c>
      <x:c r="O11" s="6" t="s">
        <x:v>96</x:v>
      </x:c>
      <x:c r="P11" s="37">
        <x:f t="shared" si="1"/>
        <x:v>0</x:v>
      </x:c>
      <x:c r="Q11" s="38">
        <x:v>0</x:v>
      </x:c>
      <x:c r="R11" s="37">
        <x:f t="shared" si="2"/>
        <x:v>0</x:v>
      </x:c>
      <x:c r="S11" s="38">
        <x:v>0</x:v>
      </x:c>
      <x:c r="T11" s="37">
        <x:f t="shared" si="3"/>
        <x:v>0</x:v>
      </x:c>
      <x:c r="U11" s="38">
        <x:v>0</x:v>
      </x:c>
      <x:c r="V11" s="39" t="str">
        <x:f t="shared" si="4"/>
        <x:v>按计划待验收</x:v>
      </x:c>
    </x:row>
    <x:row r="12" ht="66" customHeight="1">
      <x:c r="A12" s="5" t="s">
        <x:v>97</x:v>
      </x:c>
      <x:c r="B12" s="5" t="s">
        <x:v>90</x:v>
      </x:c>
      <x:c r="C12" s="5" t="s">
        <x:v>91</x:v>
      </x:c>
      <x:c r="D12" s="6" t="s">
        <x:v>92</x:v>
      </x:c>
      <x:c r="E12" s="6" t="s">
        <x:v>98</x:v>
      </x:c>
      <x:c r="F12" s="5" t="s">
        <x:v>47</x:v>
      </x:c>
      <x:c r="G12" s="36"/>
      <x:c r="H12" s="36">
        <x:v>2</x:v>
      </x:c>
      <x:c r="I12" s="5" t="s">
        <x:v>48</x:v>
      </x:c>
      <x:c r="J12" s="5" t="s">
        <x:v>89</x:v>
      </x:c>
      <x:c r="K12" s="5" t="s">
        <x:v>65</x:v>
      </x:c>
      <x:c r="L12" s="5" t="s">
        <x:v>99</x:v>
      </x:c>
      <x:c r="M12" s="5" t="str">
        <x:v>已完成</x:v>
      </x:c>
      <x:c r="N12" s="6" t="s">
        <x:v>100</x:v>
      </x:c>
      <x:c r="O12" s="6" t="s">
        <x:v>101</x:v>
      </x:c>
      <x:c r="P12" s="37">
        <x:f t="shared" si="1"/>
        <x:v>0</x:v>
      </x:c>
      <x:c r="Q12" s="38">
        <x:v>0</x:v>
      </x:c>
      <x:c r="R12" s="37">
        <x:f t="shared" si="2"/>
        <x:v>0</x:v>
      </x:c>
      <x:c r="S12" s="38">
        <x:v>0</x:v>
      </x:c>
      <x:c r="T12" s="37">
        <x:f t="shared" si="3"/>
        <x:v>0</x:v>
      </x:c>
      <x:c r="U12" s="38">
        <x:v>0</x:v>
      </x:c>
      <x:c r="V12" s="39" t="str">
        <x:f t="shared" si="4"/>
        <x:v>按计划待验收</x:v>
      </x:c>
    </x:row>
    <x:row r="13" ht="66" customHeight="1">
      <x:c r="A13" s="5" t="s">
        <x:v>102</x:v>
      </x:c>
      <x:c r="B13" s="34" t="s">
        <x:v>103</x:v>
      </x:c>
      <x:c r="C13" s="34" t="s">
        <x:v>104</x:v>
      </x:c>
      <x:c r="D13" s="35" t="s">
        <x:v>105</x:v>
      </x:c>
      <x:c r="E13" s="6" t="s">
        <x:v>106</x:v>
      </x:c>
      <x:c r="F13" s="5" t="s">
        <x:v>47</x:v>
      </x:c>
      <x:c r="G13" s="36">
        <x:v>5</x:v>
      </x:c>
      <x:c r="H13" s="36">
        <x:v>2</x:v>
      </x:c>
      <x:c r="I13" s="5" t="s">
        <x:v>48</x:v>
      </x:c>
      <x:c r="J13" s="5" t="s">
        <x:v>89</x:v>
      </x:c>
      <x:c r="K13" s="5" t="s">
        <x:v>65</x:v>
      </x:c>
      <x:c r="L13" s="5" t="s">
        <x:v>107</x:v>
      </x:c>
      <x:c r="M13" s="5" t="str">
        <x:v>已完成</x:v>
      </x:c>
      <x:c r="N13" s="6" t="s">
        <x:v>108</x:v>
      </x:c>
      <x:c r="O13" s="6" t="s">
        <x:v>109</x:v>
      </x:c>
      <x:c r="P13" s="37">
        <x:f t="shared" si="1"/>
        <x:v>0</x:v>
      </x:c>
      <x:c r="Q13" s="38">
        <x:v>0</x:v>
      </x:c>
      <x:c r="R13" s="37">
        <x:f t="shared" si="2"/>
        <x:v>0</x:v>
      </x:c>
      <x:c r="S13" s="38">
        <x:v>0</x:v>
      </x:c>
      <x:c r="T13" s="37">
        <x:f t="shared" si="3"/>
        <x:v>0</x:v>
      </x:c>
      <x:c r="U13" s="38">
        <x:v>0</x:v>
      </x:c>
      <x:c r="V13" s="39" t="str">
        <x:f t="shared" si="4"/>
        <x:v>按计划待验收</x:v>
      </x:c>
    </x:row>
    <x:row r="14" ht="66" customHeight="1">
      <x:c r="A14" s="5" t="s">
        <x:v>110</x:v>
      </x:c>
      <x:c r="B14" s="5" t="s">
        <x:v>103</x:v>
      </x:c>
      <x:c r="C14" s="5" t="s">
        <x:v>104</x:v>
      </x:c>
      <x:c r="D14" s="6" t="s">
        <x:v>105</x:v>
      </x:c>
      <x:c r="E14" s="6" t="s">
        <x:v>111</x:v>
      </x:c>
      <x:c r="F14" s="5" t="s">
        <x:v>47</x:v>
      </x:c>
      <x:c r="G14" s="36"/>
      <x:c r="H14" s="36">
        <x:v>2</x:v>
      </x:c>
      <x:c r="I14" s="5" t="s">
        <x:v>85</x:v>
      </x:c>
      <x:c r="J14" s="5" t="s">
        <x:v>112</x:v>
      </x:c>
      <x:c r="K14" s="5" t="s">
        <x:v>56</x:v>
      </x:c>
      <x:c r="L14" s="5" t="s">
        <x:v>113</x:v>
      </x:c>
      <x:c r="M14" s="5" t="str">
        <x:v>已完成</x:v>
      </x:c>
      <x:c r="N14" s="6" t="s">
        <x:v>114</x:v>
      </x:c>
      <x:c r="O14" s="6" t="s">
        <x:v>115</x:v>
      </x:c>
      <x:c r="P14" s="37">
        <x:f t="shared" si="1"/>
        <x:v>2</x:v>
      </x:c>
      <x:c r="Q14" s="38">
        <x:v>2</x:v>
      </x:c>
      <x:c r="R14" s="37">
        <x:f t="shared" si="2"/>
        <x:v>0</x:v>
      </x:c>
      <x:c r="S14" s="38">
        <x:v>0</x:v>
      </x:c>
      <x:c r="T14" s="37">
        <x:f t="shared" si="3"/>
        <x:v>0</x:v>
      </x:c>
      <x:c r="U14" s="38">
        <x:v>0</x:v>
      </x:c>
      <x:c r="V14" s="39" t="str">
        <x:f t="shared" si="4"/>
        <x:v>按计划待验收</x:v>
      </x:c>
    </x:row>
    <x:row r="15" ht="66" customHeight="1">
      <x:c r="A15" s="5" t="s">
        <x:v>116</x:v>
      </x:c>
      <x:c r="B15" s="34" t="s">
        <x:v>117</x:v>
      </x:c>
      <x:c r="C15" s="34" t="s">
        <x:v>118</x:v>
      </x:c>
      <x:c r="D15" s="35" t="s">
        <x:v>119</x:v>
      </x:c>
      <x:c r="E15" s="6" t="s">
        <x:v>120</x:v>
      </x:c>
      <x:c r="F15" s="5" t="s">
        <x:v>47</x:v>
      </x:c>
      <x:c r="G15" s="36">
        <x:v>5</x:v>
      </x:c>
      <x:c r="H15" s="36">
        <x:v>2</x:v>
      </x:c>
      <x:c r="I15" s="5" t="s">
        <x:v>85</x:v>
      </x:c>
      <x:c r="J15" s="5" t="s">
        <x:v>121</x:v>
      </x:c>
      <x:c r="K15" s="5" t="s">
        <x:v>65</x:v>
      </x:c>
      <x:c r="L15" s="5" t="s">
        <x:v>122</x:v>
      </x:c>
      <x:c r="M15" s="5" t="str">
        <x:v>已完成</x:v>
      </x:c>
      <x:c r="N15" s="6" t="s">
        <x:v>123</x:v>
      </x:c>
      <x:c r="O15" s="6" t="s">
        <x:v>124</x:v>
      </x:c>
      <x:c r="P15" s="37">
        <x:f t="shared" si="1"/>
        <x:v>2</x:v>
      </x:c>
      <x:c r="Q15" s="38">
        <x:v>2</x:v>
      </x:c>
      <x:c r="R15" s="37">
        <x:f t="shared" si="2"/>
        <x:v>0</x:v>
      </x:c>
      <x:c r="S15" s="38">
        <x:v>0</x:v>
      </x:c>
      <x:c r="T15" s="37">
        <x:f t="shared" si="3"/>
        <x:v>0</x:v>
      </x:c>
      <x:c r="U15" s="38">
        <x:v>0</x:v>
      </x:c>
      <x:c r="V15" s="39" t="str">
        <x:f t="shared" si="4"/>
        <x:v>按计划待验收</x:v>
      </x:c>
    </x:row>
    <x:row r="16" ht="66" customHeight="1">
      <x:c r="A16" s="5" t="s">
        <x:v>125</x:v>
      </x:c>
      <x:c r="B16" s="5" t="s">
        <x:v>117</x:v>
      </x:c>
      <x:c r="C16" s="5" t="s">
        <x:v>118</x:v>
      </x:c>
      <x:c r="D16" s="6" t="s">
        <x:v>119</x:v>
      </x:c>
      <x:c r="E16" s="6" t="s">
        <x:v>126</x:v>
      </x:c>
      <x:c r="F16" s="5" t="s">
        <x:v>47</x:v>
      </x:c>
      <x:c r="G16" s="36"/>
      <x:c r="H16" s="36">
        <x:v>2</x:v>
      </x:c>
      <x:c r="I16" s="5" t="s">
        <x:v>85</x:v>
      </x:c>
      <x:c r="J16" s="5" t="s">
        <x:v>116</x:v>
      </x:c>
      <x:c r="K16" s="5" t="s">
        <x:v>71</x:v>
      </x:c>
      <x:c r="L16" s="5" t="s">
        <x:v>127</x:v>
      </x:c>
      <x:c r="M16" s="5" t="str">
        <x:v>已完成</x:v>
      </x:c>
      <x:c r="N16" s="6" t="s">
        <x:v>128</x:v>
      </x:c>
      <x:c r="O16" s="6" t="s">
        <x:v>129</x:v>
      </x:c>
      <x:c r="P16" s="37">
        <x:f t="shared" si="1"/>
        <x:v>2</x:v>
      </x:c>
      <x:c r="Q16" s="38">
        <x:v>2</x:v>
      </x:c>
      <x:c r="R16" s="37">
        <x:f t="shared" si="2"/>
        <x:v>0</x:v>
      </x:c>
      <x:c r="S16" s="38">
        <x:v>0</x:v>
      </x:c>
      <x:c r="T16" s="37">
        <x:f t="shared" si="3"/>
        <x:v>0</x:v>
      </x:c>
      <x:c r="U16" s="38">
        <x:v>0</x:v>
      </x:c>
      <x:c r="V16" s="39" t="str">
        <x:f t="shared" si="4"/>
        <x:v>按计划待验收</x:v>
      </x:c>
    </x:row>
    <x:row r="17" ht="66" customHeight="1">
      <x:c r="A17" s="5" t="s">
        <x:v>130</x:v>
      </x:c>
      <x:c r="B17" s="34" t="s">
        <x:v>131</x:v>
      </x:c>
      <x:c r="C17" s="34" t="s">
        <x:v>132</x:v>
      </x:c>
      <x:c r="D17" s="35" t="s">
        <x:v>133</x:v>
      </x:c>
      <x:c r="E17" s="6" t="s">
        <x:v>134</x:v>
      </x:c>
      <x:c r="F17" s="5" t="s">
        <x:v>47</x:v>
      </x:c>
      <x:c r="G17" s="36">
        <x:v>3</x:v>
      </x:c>
      <x:c r="H17" s="36">
        <x:v>2</x:v>
      </x:c>
      <x:c r="I17" s="5" t="s">
        <x:v>48</x:v>
      </x:c>
      <x:c r="J17" s="5" t="s">
        <x:v>42</x:v>
      </x:c>
      <x:c r="K17" s="5" t="s">
        <x:v>56</x:v>
      </x:c>
      <x:c r="L17" s="5" t="s">
        <x:v>135</x:v>
      </x:c>
      <x:c r="M17" s="5" t="str">
        <x:v>已完成</x:v>
      </x:c>
      <x:c r="N17" s="6" t="s">
        <x:v>136</x:v>
      </x:c>
      <x:c r="O17" s="6" t="s">
        <x:v>137</x:v>
      </x:c>
      <x:c r="P17" s="37">
        <x:f t="shared" si="1"/>
        <x:v>0</x:v>
      </x:c>
      <x:c r="Q17" s="38">
        <x:v>0</x:v>
      </x:c>
      <x:c r="R17" s="37">
        <x:f t="shared" si="2"/>
        <x:v>0</x:v>
      </x:c>
      <x:c r="S17" s="38">
        <x:v>0</x:v>
      </x:c>
      <x:c r="T17" s="37">
        <x:f t="shared" si="3"/>
        <x:v>0</x:v>
      </x:c>
      <x:c r="U17" s="38">
        <x:v>0</x:v>
      </x:c>
      <x:c r="V17" s="39" t="str">
        <x:f t="shared" si="4"/>
        <x:v>按计划待验收</x:v>
      </x:c>
    </x:row>
    <x:row r="18" ht="66" customHeight="1">
      <x:c r="A18" s="5" t="s">
        <x:v>138</x:v>
      </x:c>
      <x:c r="B18" s="5" t="s">
        <x:v>131</x:v>
      </x:c>
      <x:c r="C18" s="5" t="s">
        <x:v>132</x:v>
      </x:c>
      <x:c r="D18" s="6" t="s">
        <x:v>133</x:v>
      </x:c>
      <x:c r="E18" s="6" t="s">
        <x:v>139</x:v>
      </x:c>
      <x:c r="F18" s="5" t="s">
        <x:v>47</x:v>
      </x:c>
      <x:c r="G18" s="36"/>
      <x:c r="H18" s="36">
        <x:v>2</x:v>
      </x:c>
      <x:c r="I18" s="5" t="s">
        <x:v>48</x:v>
      </x:c>
      <x:c r="J18" s="5" t="s">
        <x:v>130</x:v>
      </x:c>
      <x:c r="K18" s="5" t="s">
        <x:v>50</x:v>
      </x:c>
      <x:c r="L18" s="5" t="s">
        <x:v>140</x:v>
      </x:c>
      <x:c r="M18" s="5" t="str">
        <x:v>已完成</x:v>
      </x:c>
      <x:c r="N18" s="6" t="s">
        <x:v>141</x:v>
      </x:c>
      <x:c r="O18" s="6" t="s">
        <x:v>142</x:v>
      </x:c>
      <x:c r="P18" s="37">
        <x:f t="shared" si="1"/>
        <x:v>0</x:v>
      </x:c>
      <x:c r="Q18" s="38">
        <x:v>0</x:v>
      </x:c>
      <x:c r="R18" s="37">
        <x:f t="shared" si="2"/>
        <x:v>0</x:v>
      </x:c>
      <x:c r="S18" s="38">
        <x:v>0</x:v>
      </x:c>
      <x:c r="T18" s="37">
        <x:f t="shared" si="3"/>
        <x:v>0</x:v>
      </x:c>
      <x:c r="U18" s="38">
        <x:v>0</x:v>
      </x:c>
      <x:c r="V18" s="39" t="str">
        <x:f t="shared" si="4"/>
        <x:v>按计划待验收</x:v>
      </x:c>
    </x:row>
    <x:row r="19" ht="66" customHeight="1">
      <x:c r="A19" s="5" t="s">
        <x:v>143</x:v>
      </x:c>
      <x:c r="B19" s="34" t="s">
        <x:v>144</x:v>
      </x:c>
      <x:c r="C19" s="34" t="s">
        <x:v>145</x:v>
      </x:c>
      <x:c r="D19" s="35" t="s">
        <x:v>146</x:v>
      </x:c>
      <x:c r="E19" s="6" t="s">
        <x:v>147</x:v>
      </x:c>
      <x:c r="F19" s="5" t="s">
        <x:v>47</x:v>
      </x:c>
      <x:c r="G19" s="36">
        <x:v>3</x:v>
      </x:c>
      <x:c r="H19" s="36">
        <x:v>2</x:v>
      </x:c>
      <x:c r="I19" s="5" t="s">
        <x:v>48</x:v>
      </x:c>
      <x:c r="J19" s="5" t="s">
        <x:v>130</x:v>
      </x:c>
      <x:c r="K19" s="5" t="s">
        <x:v>71</x:v>
      </x:c>
      <x:c r="L19" s="5" t="s">
        <x:v>148</x:v>
      </x:c>
      <x:c r="M19" s="5" t="str">
        <x:v>已完成</x:v>
      </x:c>
      <x:c r="N19" s="6" t="s">
        <x:v>149</x:v>
      </x:c>
      <x:c r="O19" s="6" t="s">
        <x:v>150</x:v>
      </x:c>
      <x:c r="P19" s="37">
        <x:f t="shared" si="1"/>
        <x:v>0</x:v>
      </x:c>
      <x:c r="Q19" s="38">
        <x:v>0</x:v>
      </x:c>
      <x:c r="R19" s="37">
        <x:f t="shared" si="2"/>
        <x:v>0</x:v>
      </x:c>
      <x:c r="S19" s="38">
        <x:v>0</x:v>
      </x:c>
      <x:c r="T19" s="37">
        <x:f t="shared" si="3"/>
        <x:v>0</x:v>
      </x:c>
      <x:c r="U19" s="38">
        <x:v>0</x:v>
      </x:c>
      <x:c r="V19" s="39" t="str">
        <x:f t="shared" si="4"/>
        <x:v>按计划待验收</x:v>
      </x:c>
    </x:row>
    <x:row r="20" ht="66" customHeight="1">
      <x:c r="A20" s="5" t="s">
        <x:v>151</x:v>
      </x:c>
      <x:c r="B20" s="5" t="s">
        <x:v>144</x:v>
      </x:c>
      <x:c r="C20" s="5" t="s">
        <x:v>145</x:v>
      </x:c>
      <x:c r="D20" s="6" t="s">
        <x:v>146</x:v>
      </x:c>
      <x:c r="E20" s="6" t="s">
        <x:v>152</x:v>
      </x:c>
      <x:c r="F20" s="5" t="s">
        <x:v>47</x:v>
      </x:c>
      <x:c r="G20" s="36"/>
      <x:c r="H20" s="36">
        <x:v>2</x:v>
      </x:c>
      <x:c r="I20" s="5" t="s">
        <x:v>85</x:v>
      </x:c>
      <x:c r="J20" s="5" t="s">
        <x:v>143</x:v>
      </x:c>
      <x:c r="K20" s="5" t="s">
        <x:v>56</x:v>
      </x:c>
      <x:c r="L20" s="5" t="s">
        <x:v>153</x:v>
      </x:c>
      <x:c r="M20" s="5" t="str">
        <x:v>已完成</x:v>
      </x:c>
      <x:c r="N20" s="6" t="s">
        <x:v>154</x:v>
      </x:c>
      <x:c r="O20" s="6" t="s">
        <x:v>155</x:v>
      </x:c>
      <x:c r="P20" s="37">
        <x:f t="shared" si="1"/>
        <x:v>2</x:v>
      </x:c>
      <x:c r="Q20" s="38">
        <x:v>2</x:v>
      </x:c>
      <x:c r="R20" s="37">
        <x:f t="shared" si="2"/>
        <x:v>0</x:v>
      </x:c>
      <x:c r="S20" s="38">
        <x:v>0</x:v>
      </x:c>
      <x:c r="T20" s="37">
        <x:f t="shared" si="3"/>
        <x:v>0</x:v>
      </x:c>
      <x:c r="U20" s="38">
        <x:v>0</x:v>
      </x:c>
      <x:c r="V20" s="39" t="str">
        <x:f t="shared" si="4"/>
        <x:v>按计划待验收</x:v>
      </x:c>
    </x:row>
    <x:row r="21" ht="66" customHeight="1">
      <x:c r="A21" s="5" t="s">
        <x:v>156</x:v>
      </x:c>
      <x:c r="B21" s="34" t="s">
        <x:v>157</x:v>
      </x:c>
      <x:c r="C21" s="34" t="s">
        <x:v>158</x:v>
      </x:c>
      <x:c r="D21" s="35" t="s">
        <x:v>159</x:v>
      </x:c>
      <x:c r="E21" s="6" t="s">
        <x:v>160</x:v>
      </x:c>
      <x:c r="F21" s="5" t="s">
        <x:v>47</x:v>
      </x:c>
      <x:c r="G21" s="36">
        <x:v>5</x:v>
      </x:c>
      <x:c r="H21" s="36">
        <x:v>2</x:v>
      </x:c>
      <x:c r="I21" s="5" t="s">
        <x:v>85</x:v>
      </x:c>
      <x:c r="J21" s="5" t="s">
        <x:v>161</x:v>
      </x:c>
      <x:c r="K21" s="5" t="s">
        <x:v>50</x:v>
      </x:c>
      <x:c r="L21" s="5" t="s">
        <x:v>162</x:v>
      </x:c>
      <x:c r="M21" s="5" t="str">
        <x:v>已完成</x:v>
      </x:c>
      <x:c r="N21" s="6" t="s">
        <x:v>163</x:v>
      </x:c>
      <x:c r="O21" s="6" t="s">
        <x:v>164</x:v>
      </x:c>
      <x:c r="P21" s="37">
        <x:f t="shared" si="1"/>
        <x:v>2</x:v>
      </x:c>
      <x:c r="Q21" s="38">
        <x:v>2</x:v>
      </x:c>
      <x:c r="R21" s="37">
        <x:f t="shared" si="2"/>
        <x:v>0</x:v>
      </x:c>
      <x:c r="S21" s="38">
        <x:v>0</x:v>
      </x:c>
      <x:c r="T21" s="37">
        <x:f t="shared" si="3"/>
        <x:v>0</x:v>
      </x:c>
      <x:c r="U21" s="38">
        <x:v>0</x:v>
      </x:c>
      <x:c r="V21" s="39" t="str">
        <x:f t="shared" si="4"/>
        <x:v>按计划待验收</x:v>
      </x:c>
    </x:row>
    <x:row r="22" ht="66" customHeight="1">
      <x:c r="A22" s="5" t="s">
        <x:v>165</x:v>
      </x:c>
      <x:c r="B22" s="5" t="s">
        <x:v>157</x:v>
      </x:c>
      <x:c r="C22" s="5" t="s">
        <x:v>158</x:v>
      </x:c>
      <x:c r="D22" s="6" t="s">
        <x:v>159</x:v>
      </x:c>
      <x:c r="E22" s="6" t="s">
        <x:v>166</x:v>
      </x:c>
      <x:c r="F22" s="5" t="s">
        <x:v>47</x:v>
      </x:c>
      <x:c r="G22" s="36"/>
      <x:c r="H22" s="36">
        <x:v>2</x:v>
      </x:c>
      <x:c r="I22" s="5" t="s">
        <x:v>85</x:v>
      </x:c>
      <x:c r="J22" s="5" t="s">
        <x:v>167</x:v>
      </x:c>
      <x:c r="K22" s="5" t="s">
        <x:v>65</x:v>
      </x:c>
      <x:c r="L22" s="5" t="s">
        <x:v>168</x:v>
      </x:c>
      <x:c r="M22" s="5" t="str">
        <x:v>已完成</x:v>
      </x:c>
      <x:c r="N22" s="6" t="s">
        <x:v>169</x:v>
      </x:c>
      <x:c r="O22" s="6" t="s">
        <x:v>170</x:v>
      </x:c>
      <x:c r="P22" s="37">
        <x:f t="shared" si="1"/>
        <x:v>2</x:v>
      </x:c>
      <x:c r="Q22" s="38">
        <x:v>2</x:v>
      </x:c>
      <x:c r="R22" s="37">
        <x:f t="shared" si="2"/>
        <x:v>0</x:v>
      </x:c>
      <x:c r="S22" s="38">
        <x:v>0</x:v>
      </x:c>
      <x:c r="T22" s="37">
        <x:f t="shared" si="3"/>
        <x:v>0</x:v>
      </x:c>
      <x:c r="U22" s="38">
        <x:v>0</x:v>
      </x:c>
      <x:c r="V22" s="39" t="str">
        <x:f t="shared" si="4"/>
        <x:v>按计划待验收</x:v>
      </x:c>
    </x:row>
    <x:row r="23" ht="66" customHeight="1">
      <x:c r="A23" s="5" t="s">
        <x:v>171</x:v>
      </x:c>
      <x:c r="B23" s="34" t="s">
        <x:v>172</x:v>
      </x:c>
      <x:c r="C23" s="34" t="s">
        <x:v>173</x:v>
      </x:c>
      <x:c r="D23" s="35" t="s">
        <x:v>174</x:v>
      </x:c>
      <x:c r="E23" s="6" t="s">
        <x:v>175</x:v>
      </x:c>
      <x:c r="F23" s="5" t="s">
        <x:v>47</x:v>
      </x:c>
      <x:c r="G23" s="36">
        <x:v>3</x:v>
      </x:c>
      <x:c r="H23" s="36">
        <x:v>2</x:v>
      </x:c>
      <x:c r="I23" s="5" t="s">
        <x:v>85</x:v>
      </x:c>
      <x:c r="J23" s="5" t="s">
        <x:v>176</x:v>
      </x:c>
      <x:c r="K23" s="5" t="s">
        <x:v>56</x:v>
      </x:c>
      <x:c r="L23" s="5" t="s">
        <x:v>177</x:v>
      </x:c>
      <x:c r="M23" s="5" t="str">
        <x:v>已完成</x:v>
      </x:c>
      <x:c r="N23" s="6" t="s">
        <x:v>178</x:v>
      </x:c>
      <x:c r="O23" s="6" t="s">
        <x:v>179</x:v>
      </x:c>
      <x:c r="P23" s="37">
        <x:f t="shared" si="1"/>
        <x:v>2</x:v>
      </x:c>
      <x:c r="Q23" s="38">
        <x:v>2</x:v>
      </x:c>
      <x:c r="R23" s="37">
        <x:f t="shared" si="2"/>
        <x:v>0</x:v>
      </x:c>
      <x:c r="S23" s="38">
        <x:v>0</x:v>
      </x:c>
      <x:c r="T23" s="37">
        <x:f t="shared" si="3"/>
        <x:v>0</x:v>
      </x:c>
      <x:c r="U23" s="38">
        <x:v>0</x:v>
      </x:c>
      <x:c r="V23" s="39" t="str">
        <x:f t="shared" si="4"/>
        <x:v>按计划待验收</x:v>
      </x:c>
    </x:row>
    <x:row r="24" ht="66" customHeight="1">
      <x:c r="A24" s="5" t="s">
        <x:v>180</x:v>
      </x:c>
      <x:c r="B24" s="5" t="s">
        <x:v>172</x:v>
      </x:c>
      <x:c r="C24" s="5" t="s">
        <x:v>173</x:v>
      </x:c>
      <x:c r="D24" s="6" t="s">
        <x:v>174</x:v>
      </x:c>
      <x:c r="E24" s="6" t="s">
        <x:v>181</x:v>
      </x:c>
      <x:c r="F24" s="5" t="s">
        <x:v>47</x:v>
      </x:c>
      <x:c r="G24" s="36"/>
      <x:c r="H24" s="36">
        <x:v>2</x:v>
      </x:c>
      <x:c r="I24" s="5" t="s">
        <x:v>85</x:v>
      </x:c>
      <x:c r="J24" s="5" t="s">
        <x:v>171</x:v>
      </x:c>
      <x:c r="K24" s="5" t="s">
        <x:v>71</x:v>
      </x:c>
      <x:c r="L24" s="5" t="s">
        <x:v>182</x:v>
      </x:c>
      <x:c r="M24" s="5" t="str">
        <x:v>已完成</x:v>
      </x:c>
      <x:c r="N24" s="6" t="s">
        <x:v>183</x:v>
      </x:c>
      <x:c r="O24" s="6" t="s">
        <x:v>184</x:v>
      </x:c>
      <x:c r="P24" s="37">
        <x:f t="shared" si="1"/>
        <x:v>2</x:v>
      </x:c>
      <x:c r="Q24" s="38">
        <x:v>2</x:v>
      </x:c>
      <x:c r="R24" s="37">
        <x:f t="shared" si="2"/>
        <x:v>0</x:v>
      </x:c>
      <x:c r="S24" s="38">
        <x:v>0</x:v>
      </x:c>
      <x:c r="T24" s="37">
        <x:f t="shared" si="3"/>
        <x:v>0</x:v>
      </x:c>
      <x:c r="U24" s="38">
        <x:v>0</x:v>
      </x:c>
      <x:c r="V24" s="39" t="str">
        <x:f t="shared" si="4"/>
        <x:v>按计划待验收</x:v>
      </x:c>
    </x:row>
    <x:row r="25" ht="66" customHeight="1">
      <x:c r="A25" s="5" t="s">
        <x:v>185</x:v>
      </x:c>
      <x:c r="B25" s="34" t="s">
        <x:v>186</x:v>
      </x:c>
      <x:c r="C25" s="34" t="s">
        <x:v>187</x:v>
      </x:c>
      <x:c r="D25" s="35" t="s">
        <x:v>188</x:v>
      </x:c>
      <x:c r="E25" s="6" t="s">
        <x:v>189</x:v>
      </x:c>
      <x:c r="F25" s="5" t="s">
        <x:v>47</x:v>
      </x:c>
      <x:c r="G25" s="36">
        <x:v>2</x:v>
      </x:c>
      <x:c r="H25" s="36">
        <x:v>2</x:v>
      </x:c>
      <x:c r="I25" s="5" t="s">
        <x:v>85</x:v>
      </x:c>
      <x:c r="J25" s="5" t="s">
        <x:v>190</x:v>
      </x:c>
      <x:c r="K25" s="5" t="s">
        <x:v>71</x:v>
      </x:c>
      <x:c r="L25" s="5" t="s">
        <x:v>191</x:v>
      </x:c>
      <x:c r="M25" s="5" t="str">
        <x:v>已完成</x:v>
      </x:c>
      <x:c r="N25" s="6" t="s">
        <x:v>192</x:v>
      </x:c>
      <x:c r="O25" s="6" t="s">
        <x:v>193</x:v>
      </x:c>
      <x:c r="P25" s="37">
        <x:f t="shared" si="1"/>
        <x:v>2</x:v>
      </x:c>
      <x:c r="Q25" s="38">
        <x:v>2</x:v>
      </x:c>
      <x:c r="R25" s="37">
        <x:f t="shared" si="2"/>
        <x:v>0</x:v>
      </x:c>
      <x:c r="S25" s="38">
        <x:v>0</x:v>
      </x:c>
      <x:c r="T25" s="37">
        <x:f t="shared" si="3"/>
        <x:v>0</x:v>
      </x:c>
      <x:c r="U25" s="38">
        <x:v>0</x:v>
      </x:c>
      <x:c r="V25" s="39" t="str">
        <x:f t="shared" si="4"/>
        <x:v>按计划待验收</x:v>
      </x:c>
    </x:row>
    <x:row r="26" ht="66" customHeight="1">
      <x:c r="A26" s="5" t="s">
        <x:v>194</x:v>
      </x:c>
      <x:c r="B26" s="5" t="s">
        <x:v>186</x:v>
      </x:c>
      <x:c r="C26" s="5" t="s">
        <x:v>187</x:v>
      </x:c>
      <x:c r="D26" s="6" t="s">
        <x:v>188</x:v>
      </x:c>
      <x:c r="E26" s="6" t="s">
        <x:v>195</x:v>
      </x:c>
      <x:c r="F26" s="5" t="s">
        <x:v>47</x:v>
      </x:c>
      <x:c r="G26" s="36"/>
      <x:c r="H26" s="36">
        <x:v>2</x:v>
      </x:c>
      <x:c r="I26" s="5" t="s">
        <x:v>85</x:v>
      </x:c>
      <x:c r="J26" s="5" t="s">
        <x:v>185</x:v>
      </x:c>
      <x:c r="K26" s="5" t="s">
        <x:v>65</x:v>
      </x:c>
      <x:c r="L26" s="5" t="s">
        <x:v>196</x:v>
      </x:c>
      <x:c r="M26" s="5" t="str">
        <x:v>已完成</x:v>
      </x:c>
      <x:c r="N26" s="6" t="s">
        <x:v>197</x:v>
      </x:c>
      <x:c r="O26" s="6" t="s">
        <x:v>198</x:v>
      </x:c>
      <x:c r="P26" s="37">
        <x:f t="shared" si="1"/>
        <x:v>2</x:v>
      </x:c>
      <x:c r="Q26" s="38">
        <x:v>2</x:v>
      </x:c>
      <x:c r="R26" s="37">
        <x:f t="shared" si="2"/>
        <x:v>0</x:v>
      </x:c>
      <x:c r="S26" s="38">
        <x:v>0</x:v>
      </x:c>
      <x:c r="T26" s="37">
        <x:f t="shared" si="3"/>
        <x:v>0</x:v>
      </x:c>
      <x:c r="U26" s="38">
        <x:v>0</x:v>
      </x:c>
      <x:c r="V26" s="39" t="str">
        <x:f t="shared" si="4"/>
        <x:v>按计划待验收</x:v>
      </x:c>
    </x:row>
    <x:row r="27" ht="66" customHeight="1">
      <x:c r="A27" s="5" t="s">
        <x:v>199</x:v>
      </x:c>
      <x:c r="B27" s="34" t="s">
        <x:v>200</x:v>
      </x:c>
      <x:c r="C27" s="34" t="s">
        <x:v>201</x:v>
      </x:c>
      <x:c r="D27" s="35" t="s">
        <x:v>202</x:v>
      </x:c>
      <x:c r="E27" s="6" t="s">
        <x:v>203</x:v>
      </x:c>
      <x:c r="F27" s="5" t="s">
        <x:v>47</x:v>
      </x:c>
      <x:c r="G27" s="36">
        <x:v>5</x:v>
      </x:c>
      <x:c r="H27" s="36">
        <x:v>2</x:v>
      </x:c>
      <x:c r="I27" s="5" t="s">
        <x:v>48</x:v>
      </x:c>
      <x:c r="J27" s="5" t="s">
        <x:v>49</x:v>
      </x:c>
      <x:c r="K27" s="5" t="s">
        <x:v>71</x:v>
      </x:c>
      <x:c r="L27" s="5" t="s">
        <x:v>204</x:v>
      </x:c>
      <x:c r="M27" s="5" t="str">
        <x:v>已完成</x:v>
      </x:c>
      <x:c r="N27" s="6" t="s">
        <x:v>205</x:v>
      </x:c>
      <x:c r="O27" s="6" t="s">
        <x:v>206</x:v>
      </x:c>
      <x:c r="P27" s="37">
        <x:f t="shared" si="1"/>
        <x:v>0</x:v>
      </x:c>
      <x:c r="Q27" s="38">
        <x:v>0</x:v>
      </x:c>
      <x:c r="R27" s="37">
        <x:f t="shared" si="2"/>
        <x:v>0</x:v>
      </x:c>
      <x:c r="S27" s="38">
        <x:v>0</x:v>
      </x:c>
      <x:c r="T27" s="37">
        <x:f t="shared" si="3"/>
        <x:v>0</x:v>
      </x:c>
      <x:c r="U27" s="38">
        <x:v>0</x:v>
      </x:c>
      <x:c r="V27" s="39" t="str">
        <x:f t="shared" si="4"/>
        <x:v>按计划待验收</x:v>
      </x:c>
    </x:row>
    <x:row r="28" ht="66" customHeight="1">
      <x:c r="A28" s="5" t="s">
        <x:v>207</x:v>
      </x:c>
      <x:c r="B28" s="5" t="s">
        <x:v>200</x:v>
      </x:c>
      <x:c r="C28" s="5" t="s">
        <x:v>201</x:v>
      </x:c>
      <x:c r="D28" s="6" t="s">
        <x:v>202</x:v>
      </x:c>
      <x:c r="E28" s="6" t="s">
        <x:v>208</x:v>
      </x:c>
      <x:c r="F28" s="5" t="s">
        <x:v>47</x:v>
      </x:c>
      <x:c r="G28" s="36"/>
      <x:c r="H28" s="36">
        <x:v>2</x:v>
      </x:c>
      <x:c r="I28" s="5" t="s">
        <x:v>85</x:v>
      </x:c>
      <x:c r="J28" s="5" t="s">
        <x:v>209</x:v>
      </x:c>
      <x:c r="K28" s="5" t="s">
        <x:v>50</x:v>
      </x:c>
      <x:c r="L28" s="5" t="s">
        <x:v>210</x:v>
      </x:c>
      <x:c r="M28" s="5" t="str">
        <x:v>已完成</x:v>
      </x:c>
      <x:c r="N28" s="6" t="s">
        <x:v>211</x:v>
      </x:c>
      <x:c r="O28" s="6" t="s">
        <x:v>212</x:v>
      </x:c>
      <x:c r="P28" s="37">
        <x:f t="shared" si="1"/>
        <x:v>2</x:v>
      </x:c>
      <x:c r="Q28" s="38">
        <x:v>2</x:v>
      </x:c>
      <x:c r="R28" s="37">
        <x:f t="shared" si="2"/>
        <x:v>0</x:v>
      </x:c>
      <x:c r="S28" s="38">
        <x:v>0</x:v>
      </x:c>
      <x:c r="T28" s="37">
        <x:f t="shared" si="3"/>
        <x:v>0</x:v>
      </x:c>
      <x:c r="U28" s="38">
        <x:v>0</x:v>
      </x:c>
      <x:c r="V28" s="39" t="str">
        <x:f t="shared" si="4"/>
        <x:v>按计划待验收</x:v>
      </x:c>
    </x:row>
  </x:sheetData>
  <x:mergeCells>
    <x:mergeCell ref="P1:U1"/>
    <x:mergeCell ref="A1:A4"/>
    <x:mergeCell ref="B1:B4"/>
    <x:mergeCell ref="C1:C4"/>
    <x:mergeCell ref="D1:D4"/>
    <x:mergeCell ref="E1:E4"/>
    <x:mergeCell ref="F1:F4"/>
    <x:mergeCell ref="G1:G4"/>
    <x:mergeCell ref="H1:H4"/>
    <x:mergeCell ref="I1:I4"/>
    <x:mergeCell ref="J1:J4"/>
    <x:mergeCell ref="K1:K4"/>
    <x:mergeCell ref="L1:L4"/>
    <x:mergeCell ref="M1:M4"/>
    <x:mergeCell ref="N1:N4"/>
    <x:mergeCell ref="O1:O4"/>
    <x:mergeCell ref="P2:P4"/>
    <x:mergeCell ref="Q2:Q4"/>
    <x:mergeCell ref="R2:R4"/>
    <x:mergeCell ref="S2:S4"/>
    <x:mergeCell ref="T2:T4"/>
    <x:mergeCell ref="U2:U4"/>
    <x:mergeCell ref="V1:V4"/>
  </x:mergeCells>
  <x:conditionalFormatting sqref="M5:M28">
    <x:cfRule type="containsText" dxfId="0" priority="1" operator="between" text="已完成">
      <x:formula>NOT(ISERROR(SEARCH("已完成",M5)))</x:formula>
    </x:cfRule>
    <x:cfRule type="containsText" dxfId="1" priority="2" operator="between" text="阻塞">
      <x:formula>NOT(ISERROR(SEARCH("阻塞",M5)))</x:formula>
    </x:cfRule>
    <x:cfRule type="containsText" dxfId="2" priority="3" operator="between" text="进行中">
      <x:formula>NOT(ISERROR(SEARCH("进行中",M5)))</x:formula>
    </x:cfRule>
  </x:conditionalFormatting>
  <x:dataValidations count="6">
    <x:dataValidation type="list" sqref="F5:F28">
      <x:formula1>"Must,Should,Could"</x:formula1>
    </x:dataValidation>
    <x:dataValidation type="whole" operator="between" sqref="H5:H28">
      <x:formula1>1</x:formula1>
      <x:formula2>8</x:formula2>
    </x:dataValidation>
    <x:dataValidation type="list" sqref="I5:I28">
      <x:formula1>"Day1,Day2"</x:formula1>
    </x:dataValidation>
    <x:dataValidation type="list" sqref="K5:K28">
      <x:formula1>"陈梓元,王敬博,张琪,林粲涵"</x:formula1>
    </x:dataValidation>
    <x:dataValidation type="list" sqref="M5:M28">
      <x:formula1>"计划中,进行中,阻塞,待验收,已完成"</x:formula1>
    </x:dataValidation>
    <x:dataValidation type="whole" operator="between" sqref="Q5:Q28 S5:S28 U5:U28">
      <x:formula1>0</x:formula1>
      <x:formula2>2</x:formula2>
    </x:dataValidation>
  </x:dataValidations>
  <x:pageMargins left="0.7" right="0.7" top="0.75" bottom="0.75" header="0.3" footer="0.3"/>
  <x:legacyDrawing xmlns:r="http://schemas.openxmlformats.org/officeDocument/2006/relationships" r:id="R8ab7eca6ce0e4cf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5" customWidth="1"/>
    <x:col min="2" max="2" width="12" customWidth="1"/>
    <x:col min="3" max="3" width="32" customWidth="1"/>
    <x:col min="4" max="4" width="12" customWidth="1"/>
    <x:col min="5" max="5" width="10" customWidth="1"/>
    <x:col min="6" max="8" width="11" customWidth="1"/>
    <x:col min="9" max="9" width="15" customWidth="1"/>
    <x:col min="10" max="10" width="30" customWidth="1"/>
    <x:col min="11" max="16" width="11" customWidth="1"/>
  </x:cols>
  <x:sheetData>
    <x:row r="1" ht="30" customHeight="1">
      <x:c r="A1" s="1" t="s">
        <x:v>213</x:v>
      </x:c>
      <x:c r="B1" s="1" t="s">
        <x:v>213</x:v>
      </x:c>
      <x:c r="C1" s="1" t="s">
        <x:v>213</x:v>
      </x:c>
      <x:c r="D1" s="1" t="s">
        <x:v>213</x:v>
      </x:c>
      <x:c r="E1" s="1" t="s">
        <x:v>213</x:v>
      </x:c>
      <x:c r="F1" s="1" t="s">
        <x:v>213</x:v>
      </x:c>
      <x:c r="G1" s="1" t="s">
        <x:v>213</x:v>
      </x:c>
      <x:c r="H1" s="1" t="s">
        <x:v>213</x:v>
      </x:c>
      <x:c r="I1" s="1" t="s">
        <x:v>213</x:v>
      </x:c>
      <x:c r="J1" s="1" t="s">
        <x:v>213</x:v>
      </x:c>
      <x:c r="K1" s="1" t="s">
        <x:v>213</x:v>
      </x:c>
      <x:c r="L1" s="1" t="s">
        <x:v>213</x:v>
      </x:c>
      <x:c r="M1" s="1" t="s">
        <x:v>213</x:v>
      </x:c>
      <x:c r="N1" s="1" t="s">
        <x:v>213</x:v>
      </x:c>
      <x:c r="O1" s="1" t="s">
        <x:v>213</x:v>
      </x:c>
      <x:c r="P1" s="1" t="s">
        <x:v>213</x:v>
      </x:c>
    </x:row>
    <x:row r="2" ht="24" customHeight="1">
      <x:c r="A2" s="2" t="s">
        <x:v>214</x:v>
      </x:c>
      <x:c r="B2" s="2" t="s">
        <x:v>214</x:v>
      </x:c>
      <x:c r="C2" s="2" t="s">
        <x:v>214</x:v>
      </x:c>
      <x:c r="D2" s="2" t="s">
        <x:v>214</x:v>
      </x:c>
      <x:c r="E2" s="2" t="s">
        <x:v>214</x:v>
      </x:c>
      <x:c r="F2" s="2" t="s">
        <x:v>214</x:v>
      </x:c>
      <x:c r="G2" s="2" t="s">
        <x:v>214</x:v>
      </x:c>
      <x:c r="H2" s="2" t="s">
        <x:v>214</x:v>
      </x:c>
      <x:c r="I2" s="2" t="s">
        <x:v>214</x:v>
      </x:c>
      <x:c r="J2" s="2" t="s">
        <x:v>214</x:v>
      </x:c>
      <x:c r="K2" s="2" t="s">
        <x:v>214</x:v>
      </x:c>
      <x:c r="L2" s="2" t="s">
        <x:v>214</x:v>
      </x:c>
      <x:c r="M2" s="2" t="s">
        <x:v>214</x:v>
      </x:c>
      <x:c r="N2" s="2" t="s">
        <x:v>214</x:v>
      </x:c>
      <x:c r="O2" s="2" t="s">
        <x:v>214</x:v>
      </x:c>
      <x:c r="P2" s="2" t="s">
        <x:v>214</x:v>
      </x:c>
    </x:row>
    <x:row r="3" ht="24" customHeight="1">
      <x:c r="A3" s="3" t="s">
        <x:v>215</x:v>
      </x:c>
      <x:c r="B3" s="3" t="s">
        <x:v>215</x:v>
      </x:c>
      <x:c r="C3" s="3" t="s">
        <x:v>215</x:v>
      </x:c>
      <x:c r="D3" s="3" t="s">
        <x:v>215</x:v>
      </x:c>
      <x:c r="E3" s="3" t="s">
        <x:v>215</x:v>
      </x:c>
      <x:c r="F3" s="3" t="s">
        <x:v>215</x:v>
      </x:c>
      <x:c r="G3" s="3" t="s">
        <x:v>215</x:v>
      </x:c>
      <x:c r="H3" s="3" t="s">
        <x:v>215</x:v>
      </x:c>
      <x:c r="I3" s="3" t="s">
        <x:v>215</x:v>
      </x:c>
      <x:c r="J3" s="3" t="s">
        <x:v>215</x:v>
      </x:c>
      <x:c r="K3" s="3" t="s">
        <x:v>215</x:v>
      </x:c>
      <x:c r="L3" s="3" t="s">
        <x:v>215</x:v>
      </x:c>
      <x:c r="M3" s="3" t="s">
        <x:v>215</x:v>
      </x:c>
      <x:c r="N3" s="3" t="s">
        <x:v>215</x:v>
      </x:c>
      <x:c r="O3" s="3" t="s">
        <x:v>215</x:v>
      </x:c>
      <x:c r="P3" s="3" t="s">
        <x:v>215</x:v>
      </x:c>
    </x:row>
    <x:row r="4" ht="24" customHeight="1">
      <x:c r="A4" s="11" t="s">
        <x:v>216</x:v>
      </x:c>
      <x:c r="B4" s="11" t="s">
        <x:v>217</x:v>
      </x:c>
      <x:c r="C4" s="12" t="s">
        <x:v>218</x:v>
      </x:c>
      <x:c r="D4" s="12" t="s">
        <x:v>218</x:v>
      </x:c>
      <x:c r="E4" s="12" t="s">
        <x:v>218</x:v>
      </x:c>
      <x:c r="F4" s="12" t="s">
        <x:v>218</x:v>
      </x:c>
      <x:c r="G4" s="12" t="s">
        <x:v>218</x:v>
      </x:c>
      <x:c r="H4" s="12" t="s">
        <x:v>218</x:v>
      </x:c>
      <x:c r="I4" s="12" t="s">
        <x:v>218</x:v>
      </x:c>
      <x:c r="J4" s="12" t="s">
        <x:v>218</x:v>
      </x:c>
      <x:c r="K4" s="12" t="s">
        <x:v>218</x:v>
      </x:c>
      <x:c r="L4" s="12" t="s">
        <x:v>218</x:v>
      </x:c>
      <x:c r="M4" s="12" t="s">
        <x:v>218</x:v>
      </x:c>
      <x:c r="N4" s="12" t="s">
        <x:v>218</x:v>
      </x:c>
      <x:c r="O4" s="12" t="s">
        <x:v>218</x:v>
      </x:c>
      <x:c r="P4" s="12" t="s">
        <x:v>218</x:v>
      </x:c>
    </x:row>
    <x:row r="6">
      <x:c r="A6" s="4" t="s">
        <x:v>219</x:v>
      </x:c>
      <x:c r="B6" s="4" t="s">
        <x:v>220</x:v>
      </x:c>
      <x:c r="C6" s="4" t="s">
        <x:v>221</x:v>
      </x:c>
    </x:row>
    <x:row r="7" ht="17.100000381469727">
      <x:c r="A7" s="6" t="s">
        <x:v>222</x:v>
      </x:c>
      <x:c r="B7" s="13" t="e">
        <x:f>SUM(SprintBacklog模板!$H$5:$H$28)</x:f>
        <x:v>#NAME?</x:v>
      </x:c>
      <x:c r="C7" s="6" t="s">
        <x:v>223</x:v>
      </x:c>
    </x:row>
    <x:row r="8" ht="17.100000381469727">
      <x:c r="A8" s="6" t="s">
        <x:v>224</x:v>
      </x:c>
      <x:c r="B8" s="13" t="e">
        <x:f>COUNTA(SprintBacklog模板!$A$5:$A$28)</x:f>
        <x:v>#NAME?</x:v>
      </x:c>
      <x:c r="C8" s="6" t="s">
        <x:v>225</x:v>
      </x:c>
    </x:row>
    <x:row r="9" ht="17.100000381469727">
      <x:c r="A9" s="6" t="s">
        <x:v>226</x:v>
      </x:c>
      <x:c r="B9" s="13" t="e">
        <x:f>COUNTA(PBI追溯!$A$6:$A$17)</x:f>
        <x:v>#NAME?</x:v>
      </x:c>
      <x:c r="C9" s="6" t="s">
        <x:v>227</x:v>
      </x:c>
    </x:row>
    <x:row r="10" ht="25.700000762939453">
      <x:c r="A10" s="6" t="s">
        <x:v>228</x:v>
      </x:c>
      <x:c r="B10" s="13">
        <x:v>0</x:v>
      </x:c>
      <x:c r="C10" s="6" t="s">
        <x:v>229</x:v>
      </x:c>
    </x:row>
    <x:row r="13" ht="28" customHeight="1">
      <x:c r="A13" s="4" t="s">
        <x:v>230</x:v>
      </x:c>
      <x:c r="B13" s="4" t="s">
        <x:v>231</x:v>
      </x:c>
      <x:c r="C13" s="4" t="s">
        <x:v>224</x:v>
      </x:c>
      <x:c r="D13" s="4" t="s">
        <x:v>232</x:v>
      </x:c>
      <x:c r="E13" s="4" t="s">
        <x:v>233</x:v>
      </x:c>
      <x:c r="F13" s="4" t="s">
        <x:v>234</x:v>
      </x:c>
      <x:c r="G13" s="4" t="s">
        <x:v>235</x:v>
      </x:c>
      <x:c r="H13" s="4" t="s">
        <x:v>236</x:v>
      </x:c>
      <x:c r="I13" s="4" t="s">
        <x:v>237</x:v>
      </x:c>
      <x:c r="J13" s="4" t="s">
        <x:v>238</x:v>
      </x:c>
    </x:row>
    <x:row r="14" ht="28" customHeight="1">
      <x:c r="A14" s="5" t="s">
        <x:v>50</x:v>
      </x:c>
      <x:c r="B14" s="5">
        <x:v>12</x:v>
      </x:c>
      <x:c r="C14" s="5" t="e">
        <x:f>COUNTIF(SprintBacklog模板!$K$5:$K$28,A14)</x:f>
        <x:v>#NAME?</x:v>
      </x:c>
      <x:c r="D14" s="5" t="e">
        <x:f>SUMIF(SprintBacklog模板!$K$5:$K$28,A14,SprintBacklog模板!$H$5:$H$28)</x:f>
        <x:v>#NAME?</x:v>
      </x:c>
      <x:c r="E14" s="5" t="e">
        <x:f>D14-B14</x:f>
        <x:v>#NAME?</x:v>
      </x:c>
      <x:c r="F14" s="5" t="e">
        <x:f>SUMIFS(SprintBacklog模板!$H$5:$H$28,SprintBacklog模板!$K$5:$K$28,A14,SprintBacklog模板!$I$5:$I$28,"Day1")</x:f>
        <x:v>#NAME?</x:v>
      </x:c>
      <x:c r="G14" s="5" t="e">
        <x:f>SUMIFS(SprintBacklog模板!$H$5:$H$28,SprintBacklog模板!$K$5:$K$28,A14,SprintBacklog模板!$I$5:$I$28,"Day2")</x:f>
        <x:v>#NAME?</x:v>
      </x:c>
      <x:c r="H14" s="5" t="e">
        <x:f>IF(E14=0,"平衡","需调整")</x:f>
        <x:v>#NAME?</x:v>
      </x:c>
      <x:c r="I14" s="6" t="s">
        <x:v>239</x:v>
      </x:c>
      <x:c r="J14" s="6" t="s">
        <x:v>240</x:v>
      </x:c>
    </x:row>
    <x:row r="15" ht="28" customHeight="1">
      <x:c r="A15" s="5" t="s">
        <x:v>71</x:v>
      </x:c>
      <x:c r="B15" s="5">
        <x:v>12</x:v>
      </x:c>
      <x:c r="C15" s="5" t="e">
        <x:f>COUNTIF(SprintBacklog模板!$K$5:$K$28,A15)</x:f>
        <x:v>#NAME?</x:v>
      </x:c>
      <x:c r="D15" s="5" t="e">
        <x:f>SUMIF(SprintBacklog模板!$K$5:$K$28,A15,SprintBacklog模板!$H$5:$H$28)</x:f>
        <x:v>#NAME?</x:v>
      </x:c>
      <x:c r="E15" s="5" t="e">
        <x:f>D15-B15</x:f>
        <x:v>#NAME?</x:v>
      </x:c>
      <x:c r="F15" s="5" t="e">
        <x:f>SUMIFS(SprintBacklog模板!$H$5:$H$28,SprintBacklog模板!$K$5:$K$28,A15,SprintBacklog模板!$I$5:$I$28,"Day1")</x:f>
        <x:v>#NAME?</x:v>
      </x:c>
      <x:c r="G15" s="5" t="e">
        <x:f>SUMIFS(SprintBacklog模板!$H$5:$H$28,SprintBacklog模板!$K$5:$K$28,A15,SprintBacklog模板!$I$5:$I$28,"Day2")</x:f>
        <x:v>#NAME?</x:v>
      </x:c>
      <x:c r="H15" s="5" t="e">
        <x:f>IF(E15=0,"平衡","需调整")</x:f>
        <x:v>#NAME?</x:v>
      </x:c>
      <x:c r="I15" s="6" t="s">
        <x:v>241</x:v>
      </x:c>
      <x:c r="J15" s="6" t="s">
        <x:v>242</x:v>
      </x:c>
    </x:row>
    <x:row r="16" ht="28" customHeight="1">
      <x:c r="A16" s="5" t="s">
        <x:v>56</x:v>
      </x:c>
      <x:c r="B16" s="5">
        <x:v>12</x:v>
      </x:c>
      <x:c r="C16" s="5" t="e">
        <x:f>COUNTIF(SprintBacklog模板!$K$5:$K$28,A16)</x:f>
        <x:v>#NAME?</x:v>
      </x:c>
      <x:c r="D16" s="5" t="e">
        <x:f>SUMIF(SprintBacklog模板!$K$5:$K$28,A16,SprintBacklog模板!$H$5:$H$28)</x:f>
        <x:v>#NAME?</x:v>
      </x:c>
      <x:c r="E16" s="5" t="e">
        <x:f>D16-B16</x:f>
        <x:v>#NAME?</x:v>
      </x:c>
      <x:c r="F16" s="5" t="e">
        <x:f>SUMIFS(SprintBacklog模板!$H$5:$H$28,SprintBacklog模板!$K$5:$K$28,A16,SprintBacklog模板!$I$5:$I$28,"Day1")</x:f>
        <x:v>#NAME?</x:v>
      </x:c>
      <x:c r="G16" s="5" t="e">
        <x:f>SUMIFS(SprintBacklog模板!$H$5:$H$28,SprintBacklog模板!$K$5:$K$28,A16,SprintBacklog模板!$I$5:$I$28,"Day2")</x:f>
        <x:v>#NAME?</x:v>
      </x:c>
      <x:c r="H16" s="5" t="e">
        <x:f>IF(E16=0,"平衡","需调整")</x:f>
        <x:v>#NAME?</x:v>
      </x:c>
      <x:c r="I16" s="6" t="s">
        <x:v>243</x:v>
      </x:c>
      <x:c r="J16" s="6" t="s">
        <x:v>244</x:v>
      </x:c>
    </x:row>
    <x:row r="17" ht="28" customHeight="1">
      <x:c r="A17" s="5" t="s">
        <x:v>65</x:v>
      </x:c>
      <x:c r="B17" s="5">
        <x:v>12</x:v>
      </x:c>
      <x:c r="C17" s="5" t="e">
        <x:f>COUNTIF(SprintBacklog模板!$K$5:$K$28,A17)</x:f>
        <x:v>#NAME?</x:v>
      </x:c>
      <x:c r="D17" s="5" t="e">
        <x:f>SUMIF(SprintBacklog模板!$K$5:$K$28,A17,SprintBacklog模板!$H$5:$H$28)</x:f>
        <x:v>#NAME?</x:v>
      </x:c>
      <x:c r="E17" s="5" t="e">
        <x:f>D17-B17</x:f>
        <x:v>#NAME?</x:v>
      </x:c>
      <x:c r="F17" s="5" t="e">
        <x:f>SUMIFS(SprintBacklog模板!$H$5:$H$28,SprintBacklog模板!$K$5:$K$28,A17,SprintBacklog模板!$I$5:$I$28,"Day1")</x:f>
        <x:v>#NAME?</x:v>
      </x:c>
      <x:c r="G17" s="5" t="e">
        <x:f>SUMIFS(SprintBacklog模板!$H$5:$H$28,SprintBacklog模板!$K$5:$K$28,A17,SprintBacklog模板!$I$5:$I$28,"Day2")</x:f>
        <x:v>#NAME?</x:v>
      </x:c>
      <x:c r="H17" s="5" t="e">
        <x:f>IF(E17=0,"平衡","需调整")</x:f>
        <x:v>#NAME?</x:v>
      </x:c>
      <x:c r="I17" s="6" t="s">
        <x:v>243</x:v>
      </x:c>
      <x:c r="J17" s="6" t="s">
        <x:v>245</x:v>
      </x:c>
    </x:row>
    <x:row r="18" ht="28" customHeight="1">
      <x:c r="A18" s="14" t="s">
        <x:v>246</x:v>
      </x:c>
      <x:c r="B18" s="14" t="n">
        <x:f t="shared" ref="B18:G18" si="0">SUM(B14:B17)</x:f>
        <x:v>48</x:v>
      </x:c>
      <x:c r="C18" s="14">
        <x:f t="shared" si="0"/>
        <x:v>24</x:v>
      </x:c>
      <x:c r="D18" s="14">
        <x:f t="shared" si="0"/>
        <x:v>48</x:v>
      </x:c>
      <x:c r="E18" s="14">
        <x:f t="shared" si="0"/>
        <x:v>0</x:v>
      </x:c>
      <x:c r="F18" s="14">
        <x:f t="shared" si="0"/>
        <x:v>24</x:v>
      </x:c>
      <x:c r="G18" s="14">
        <x:f t="shared" si="0"/>
        <x:v>24</x:v>
      </x:c>
      <x:c r="H18" s="14" t="str">
        <x:f>IF(E18=0,"平衡","需调整")</x:f>
        <x:v>平衡</x:v>
      </x:c>
      <x:c r="I18" s="15" t="s">
        <x:v>247</x:v>
      </x:c>
      <x:c r="J18" s="15" t="s">
        <x:v>248</x:v>
      </x:c>
    </x:row>
    <x:row r="21">
      <x:c r="A21" s="16" t="s">
        <x:v>249</x:v>
      </x:c>
      <x:c r="B21" s="16" t="s">
        <x:v>250</x:v>
      </x:c>
      <x:c r="C21" s="16" t="s">
        <x:v>251</x:v>
      </x:c>
      <x:c r="D21" s="16" t="s">
        <x:v>233</x:v>
      </x:c>
      <x:c r="E21" s="16" t="s">
        <x:v>252</x:v>
      </x:c>
      <x:c r="F21" s="16" t="s">
        <x:v>253</x:v>
      </x:c>
      <x:c r="G21" s="16" t="s">
        <x:v>254</x:v>
      </x:c>
    </x:row>
    <x:row r="22">
      <x:c r="A22" s="17" t="s">
        <x:v>255</x:v>
      </x:c>
      <x:c r="B22" s="18">
        <x:v>48</x:v>
      </x:c>
      <x:c r="C22" s="18">
        <x:v>48</x:v>
      </x:c>
      <x:c r="D22" s="18" t="n">
        <x:f>C22-B22</x:f>
        <x:v>0</x:v>
      </x:c>
      <x:c r="E22" s="19" t="n">
        <x:f>1-B22/$B$22</x:f>
        <x:v>0</x:v>
      </x:c>
      <x:c r="F22" s="19" t="n">
        <x:f>1-C22/$C$22</x:f>
        <x:v>0</x:v>
      </x:c>
      <x:c r="G22" s="20" t="str">
        <x:f>IF($B$4="计划基线","基线",IF(C22=0,"完成",IF(D22&lt;=0,"正常","偏离")))</x:f>
        <x:v>基线</x:v>
      </x:c>
    </x:row>
    <x:row r="23">
      <x:c r="A23" s="17" t="s">
        <x:v>48</x:v>
      </x:c>
      <x:c r="B23" s="18" t="e">
        <x:f>SUM(SprintBacklog模板!$P$5:$P$28)</x:f>
        <x:v>#NAME?</x:v>
      </x:c>
      <x:c r="C23" s="18" t="e">
        <x:f>SUM(SprintBacklog模板!$Q$5:$Q$28)</x:f>
        <x:v>#NAME?</x:v>
      </x:c>
      <x:c r="D23" s="18" t="e">
        <x:f>C23-B23</x:f>
        <x:v>#NAME?</x:v>
      </x:c>
      <x:c r="E23" s="19" t="e">
        <x:f>1-B23/$B$22</x:f>
        <x:v>#NAME?</x:v>
      </x:c>
      <x:c r="F23" s="19" t="e">
        <x:f>1-C23/$C$22</x:f>
        <x:v>#NAME?</x:v>
      </x:c>
      <x:c r="G23" s="20" t="str">
        <x:f>IF($B$4="计划基线","基线",IF(C23=0,"完成",IF(D23&lt;=0,"正常","偏离")))</x:f>
        <x:v>基线</x:v>
      </x:c>
    </x:row>
    <x:row r="24">
      <x:c r="A24" s="17" t="s">
        <x:v>85</x:v>
      </x:c>
      <x:c r="B24" s="18" t="e">
        <x:f>SUM(SprintBacklog模板!$R$5:$R$28)</x:f>
        <x:v>#NAME?</x:v>
      </x:c>
      <x:c r="C24" s="18" t="e">
        <x:f>SUM(SprintBacklog模板!$S$5:$S$28)</x:f>
        <x:v>#NAME?</x:v>
      </x:c>
      <x:c r="D24" s="18" t="e">
        <x:f>C24-B24</x:f>
        <x:v>#NAME?</x:v>
      </x:c>
      <x:c r="E24" s="19" t="e">
        <x:f>1-B24/$B$22</x:f>
        <x:v>#NAME?</x:v>
      </x:c>
      <x:c r="F24" s="19" t="e">
        <x:f>1-C24/$C$22</x:f>
        <x:v>#NAME?</x:v>
      </x:c>
      <x:c r="G24" s="20" t="str">
        <x:f>IF($B$4="计划基线","基线",IF(C24=0,"完成",IF(D24&lt;=0,"正常","偏离")))</x:f>
        <x:v>基线</x:v>
      </x:c>
    </x:row>
    <x:row r="25">
      <x:c r="A25" s="17" t="s">
        <x:v>256</x:v>
      </x:c>
      <x:c r="B25" s="18" t="e">
        <x:f>SUM(SprintBacklog模板!$T$5:$T$28)</x:f>
        <x:v>#NAME?</x:v>
      </x:c>
      <x:c r="C25" s="18" t="e">
        <x:f>SUM(SprintBacklog模板!$U$5:$U$28)</x:f>
        <x:v>#NAME?</x:v>
      </x:c>
      <x:c r="D25" s="18" t="e">
        <x:f>C25-B25</x:f>
        <x:v>#NAME?</x:v>
      </x:c>
      <x:c r="E25" s="19" t="e">
        <x:f>1-B25/$B$22</x:f>
        <x:v>#NAME?</x:v>
      </x:c>
      <x:c r="F25" s="19" t="e">
        <x:f>1-C25/$C$22</x:f>
        <x:v>#NAME?</x:v>
      </x:c>
      <x:c r="G25" s="20" t="str">
        <x:f>IF($B$4="计划基线","基线",IF(C25=0,"完成",IF(D25&lt;=0,"正常","偏离")))</x:f>
        <x:v>基线</x:v>
      </x:c>
    </x:row>
    <x:row r="29" ht="34" customHeight="1">
      <x:c r="A29" s="21" t="s">
        <x:v>257</x:v>
      </x:c>
      <x:c r="B29" s="21" t="s">
        <x:v>258</x:v>
      </x:c>
      <x:c r="C29" s="21" t="s">
        <x:v>259</x:v>
      </x:c>
      <x:c r="D29" s="21" t="s">
        <x:v>260</x:v>
      </x:c>
    </x:row>
    <x:row r="30" ht="34" customHeight="1">
      <x:c r="A30" s="6" t="s">
        <x:v>261</x:v>
      </x:c>
      <x:c r="B30" s="6" t="s">
        <x:v>262</x:v>
      </x:c>
      <x:c r="C30" s="6" t="s">
        <x:v>263</x:v>
      </x:c>
      <x:c r="D30" s="6" t="s">
        <x:v>264</x:v>
      </x:c>
    </x:row>
    <x:row r="31" ht="34" customHeight="1">
      <x:c r="A31" s="6" t="s">
        <x:v>265</x:v>
      </x:c>
      <x:c r="B31" s="6" t="s">
        <x:v>266</x:v>
      </x:c>
      <x:c r="C31" s="6" t="s">
        <x:v>267</x:v>
      </x:c>
      <x:c r="D31" s="6" t="s">
        <x:v>268</x:v>
      </x:c>
    </x:row>
    <x:row r="32" ht="34" customHeight="1">
      <x:c r="A32" s="6" t="s">
        <x:v>269</x:v>
      </x:c>
      <x:c r="B32" s="6" t="s">
        <x:v>270</x:v>
      </x:c>
      <x:c r="C32" s="6" t="s">
        <x:v>271</x:v>
      </x:c>
      <x:c r="D32" s="6" t="s">
        <x:v>272</x:v>
      </x:c>
    </x:row>
    <x:row r="33" ht="34" customHeight="1">
      <x:c r="A33" s="6" t="s">
        <x:v>273</x:v>
      </x:c>
      <x:c r="B33" s="6" t="s">
        <x:v>274</x:v>
      </x:c>
      <x:c r="C33" s="6" t="s">
        <x:v>275</x:v>
      </x:c>
      <x:c r="D33" s="6" t="s">
        <x:v>276</x:v>
      </x:c>
    </x:row>
    <x:row r="34" ht="34" customHeight="1">
      <x:c r="A34" s="6" t="s">
        <x:v>277</x:v>
      </x:c>
      <x:c r="B34" s="6" t="s">
        <x:v>278</x:v>
      </x:c>
      <x:c r="C34" s="6" t="s">
        <x:v>279</x:v>
      </x:c>
      <x:c r="D34" s="6" t="s">
        <x:v>280</x:v>
      </x:c>
    </x:row>
    <x:row r="36" ht="30" customHeight="1">
      <x:c r="A36" s="22" t="s">
        <x:v>281</x:v>
      </x:c>
      <x:c r="B36" s="23" t="s">
        <x:v>281</x:v>
      </x:c>
      <x:c r="C36" s="23" t="s">
        <x:v>281</x:v>
      </x:c>
      <x:c r="D36" s="23" t="s">
        <x:v>281</x:v>
      </x:c>
      <x:c r="E36" s="23" t="s">
        <x:v>281</x:v>
      </x:c>
      <x:c r="F36" s="23" t="s">
        <x:v>281</x:v>
      </x:c>
      <x:c r="G36" s="23" t="s">
        <x:v>281</x:v>
      </x:c>
      <x:c r="H36" s="23" t="s">
        <x:v>281</x:v>
      </x:c>
      <x:c r="I36" s="23" t="s">
        <x:v>281</x:v>
      </x:c>
      <x:c r="J36" s="23" t="s">
        <x:v>281</x:v>
      </x:c>
      <x:c r="K36" s="23" t="s">
        <x:v>281</x:v>
      </x:c>
      <x:c r="L36" s="23" t="s">
        <x:v>281</x:v>
      </x:c>
      <x:c r="M36" s="23" t="s">
        <x:v>281</x:v>
      </x:c>
      <x:c r="N36" s="23" t="s">
        <x:v>281</x:v>
      </x:c>
      <x:c r="O36" s="23" t="s">
        <x:v>281</x:v>
      </x:c>
      <x:c r="P36" s="24" t="s">
        <x:v>281</x:v>
      </x:c>
    </x:row>
    <x:row r="37" ht="30" customHeight="1">
      <x:c r="A37" s="25" t="s">
        <x:v>281</x:v>
      </x:c>
      <x:c r="B37" s="26" t="s">
        <x:v>281</x:v>
      </x:c>
      <x:c r="C37" s="26" t="s">
        <x:v>281</x:v>
      </x:c>
      <x:c r="D37" s="26" t="s">
        <x:v>281</x:v>
      </x:c>
      <x:c r="E37" s="26" t="s">
        <x:v>281</x:v>
      </x:c>
      <x:c r="F37" s="26" t="s">
        <x:v>281</x:v>
      </x:c>
      <x:c r="G37" s="26" t="s">
        <x:v>281</x:v>
      </x:c>
      <x:c r="H37" s="26" t="s">
        <x:v>281</x:v>
      </x:c>
      <x:c r="I37" s="26" t="s">
        <x:v>281</x:v>
      </x:c>
      <x:c r="J37" s="26" t="s">
        <x:v>281</x:v>
      </x:c>
      <x:c r="K37" s="26" t="s">
        <x:v>281</x:v>
      </x:c>
      <x:c r="L37" s="26" t="s">
        <x:v>281</x:v>
      </x:c>
      <x:c r="M37" s="26" t="s">
        <x:v>281</x:v>
      </x:c>
      <x:c r="N37" s="26" t="s">
        <x:v>281</x:v>
      </x:c>
      <x:c r="O37" s="26" t="s">
        <x:v>281</x:v>
      </x:c>
      <x:c r="P37" s="27" t="s">
        <x:v>281</x:v>
      </x:c>
    </x:row>
  </x:sheetData>
  <x:mergeCells>
    <x:mergeCell ref="A1:P1"/>
    <x:mergeCell ref="A2:P2"/>
    <x:mergeCell ref="A3:P3"/>
    <x:mergeCell ref="C4:P4"/>
    <x:mergeCell ref="A36:P37"/>
  </x:mergeCells>
  <x:conditionalFormatting sqref="G22:G25">
    <x:cfRule type="containsText" dxfId="0" priority="3" operator="between" text="正常">
      <x:formula>NOT(ISERROR(SEARCH("正常",G22)))</x:formula>
    </x:cfRule>
    <x:cfRule type="containsText" dxfId="1" priority="4" operator="between" text="偏离">
      <x:formula>NOT(ISERROR(SEARCH("偏离",G22)))</x:formula>
    </x:cfRule>
  </x:conditionalFormatting>
  <x:conditionalFormatting sqref="H14:H18">
    <x:cfRule type="containsText" dxfId="0" priority="1" operator="between" text="平衡">
      <x:formula>NOT(ISERROR(SEARCH("平衡",H14)))</x:formula>
    </x:cfRule>
    <x:cfRule type="containsText" dxfId="1" priority="2" operator="between" text="需调整">
      <x:formula>NOT(ISERROR(SEARCH("需调整",H14)))</x:formula>
    </x:cfRule>
  </x:conditionalFormatting>
  <x:dataValidations count="1">
    <x:dataValidation type="list" sqref="B4">
      <x:formula1>"计划基线,执行中,已结束"</x:formula1>
    </x:dataValidation>
  </x:dataValidations>
  <x:pageMargins left="0.7" right="0.7" top="0.75" bottom="0.75" header="0.3" footer="0.3"/>
  <x:drawing xmlns:r="http://schemas.openxmlformats.org/officeDocument/2006/relationships" r:id="R636b039666a84fc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2" width="13" customWidth="1"/>
    <x:col min="3" max="3" width="28" customWidth="1"/>
    <x:col min="4" max="4" width="11" customWidth="1"/>
    <x:col min="5" max="5" width="9" customWidth="1"/>
    <x:col min="6" max="6" width="68" customWidth="1"/>
    <x:col min="7" max="7" width="9" customWidth="1"/>
    <x:col min="8" max="9" width="10" customWidth="1"/>
    <x:col min="10" max="10" width="22" customWidth="1"/>
  </x:cols>
  <x:sheetData>
    <x:row r="1" ht="23.549999237060547">
      <x:c r="A1" s="1" t="s">
        <x:v>282</x:v>
      </x:c>
      <x:c r="B1" s="1" t="s">
        <x:v>282</x:v>
      </x:c>
      <x:c r="C1" s="1" t="s">
        <x:v>282</x:v>
      </x:c>
      <x:c r="D1" s="1" t="s">
        <x:v>282</x:v>
      </x:c>
      <x:c r="E1" s="1" t="s">
        <x:v>282</x:v>
      </x:c>
      <x:c r="F1" s="1" t="s">
        <x:v>282</x:v>
      </x:c>
      <x:c r="G1" s="1" t="s">
        <x:v>282</x:v>
      </x:c>
      <x:c r="H1" s="1" t="s">
        <x:v>282</x:v>
      </x:c>
      <x:c r="I1" s="1" t="s">
        <x:v>282</x:v>
      </x:c>
      <x:c r="J1" s="1" t="s">
        <x:v>282</x:v>
      </x:c>
    </x:row>
    <x:row r="2" ht="15.399999618530273">
      <x:c r="A2" s="2" t="s">
        <x:v>214</x:v>
      </x:c>
      <x:c r="B2" s="2" t="s">
        <x:v>214</x:v>
      </x:c>
      <x:c r="C2" s="2" t="s">
        <x:v>214</x:v>
      </x:c>
      <x:c r="D2" s="2" t="s">
        <x:v>214</x:v>
      </x:c>
      <x:c r="E2" s="2" t="s">
        <x:v>214</x:v>
      </x:c>
      <x:c r="F2" s="2" t="s">
        <x:v>214</x:v>
      </x:c>
      <x:c r="G2" s="2" t="s">
        <x:v>214</x:v>
      </x:c>
      <x:c r="H2" s="2" t="s">
        <x:v>214</x:v>
      </x:c>
      <x:c r="I2" s="2" t="s">
        <x:v>214</x:v>
      </x:c>
      <x:c r="J2" s="2" t="s">
        <x:v>214</x:v>
      </x:c>
    </x:row>
    <x:row r="3">
      <x:c r="A3" s="3" t="s">
        <x:v>283</x:v>
      </x:c>
      <x:c r="B3" s="3" t="s">
        <x:v>283</x:v>
      </x:c>
      <x:c r="C3" s="3" t="s">
        <x:v>283</x:v>
      </x:c>
      <x:c r="D3" s="3" t="s">
        <x:v>283</x:v>
      </x:c>
      <x:c r="E3" s="3" t="s">
        <x:v>283</x:v>
      </x:c>
      <x:c r="F3" s="3" t="s">
        <x:v>283</x:v>
      </x:c>
      <x:c r="G3" s="3" t="s">
        <x:v>283</x:v>
      </x:c>
      <x:c r="H3" s="3" t="s">
        <x:v>283</x:v>
      </x:c>
      <x:c r="I3" s="3" t="s">
        <x:v>283</x:v>
      </x:c>
      <x:c r="J3" s="3" t="s">
        <x:v>283</x:v>
      </x:c>
    </x:row>
    <x:row r="5">
      <x:c r="A5" s="4" t="s">
        <x:v>20</x:v>
      </x:c>
      <x:c r="B5" s="4" t="s">
        <x:v>21</x:v>
      </x:c>
      <x:c r="C5" s="4" t="s">
        <x:v>284</x:v>
      </x:c>
      <x:c r="D5" s="4" t="s">
        <x:v>285</x:v>
      </x:c>
      <x:c r="E5" s="4" t="s">
        <x:v>286</x:v>
      </x:c>
      <x:c r="F5" s="4" t="s">
        <x:v>287</x:v>
      </x:c>
      <x:c r="G5" s="4" t="s">
        <x:v>224</x:v>
      </x:c>
      <x:c r="H5" s="4" t="s">
        <x:v>288</x:v>
      </x:c>
      <x:c r="I5" s="4" t="s">
        <x:v>289</x:v>
      </x:c>
      <x:c r="J5" s="4" t="s">
        <x:v>290</x:v>
      </x:c>
    </x:row>
    <x:row r="6" ht="68" customHeight="1">
      <x:c r="A6" s="5" t="s">
        <x:v>43</x:v>
      </x:c>
      <x:c r="B6" s="5" t="s">
        <x:v>44</x:v>
      </x:c>
      <x:c r="C6" s="5" t="s">
        <x:v>45</x:v>
      </x:c>
      <x:c r="D6" s="5" t="s">
        <x:v>50</x:v>
      </x:c>
      <x:c r="E6" s="5">
        <x:v>3</x:v>
      </x:c>
      <x:c r="F6" s="6" t="s">
        <x:v>291</x:v>
      </x:c>
      <x:c r="G6" s="5" t="e">
        <x:f>COUNTIF(SprintBacklog模板!$B$5:$B$28,A6)</x:f>
        <x:v>#NAME?</x:v>
      </x:c>
      <x:c r="H6" s="5" t="e">
        <x:f>SUMIF(SprintBacklog模板!$B$5:$B$28,A6,SprintBacklog模板!$H$5:$H$28)</x:f>
        <x:v>#NAME?</x:v>
      </x:c>
      <x:c r="I6" s="5" t="e">
        <x:f t="shared" ref="I6:I17" si="0">IF(G6&gt;0,"已覆盖","缺口")</x:f>
        <x:v>#NAME?</x:v>
      </x:c>
      <x:c r="J6" s="5" t="s">
        <x:v>292</x:v>
      </x:c>
    </x:row>
    <x:row r="7" ht="68" customHeight="1">
      <x:c r="A7" s="5" t="s">
        <x:v>61</x:v>
      </x:c>
      <x:c r="B7" s="5" t="s">
        <x:v>62</x:v>
      </x:c>
      <x:c r="C7" s="5" t="s">
        <x:v>63</x:v>
      </x:c>
      <x:c r="D7" s="5" t="s">
        <x:v>65</x:v>
      </x:c>
      <x:c r="E7" s="5">
        <x:v>3</x:v>
      </x:c>
      <x:c r="F7" s="6" t="s">
        <x:v>293</x:v>
      </x:c>
      <x:c r="G7" s="5" t="e">
        <x:f>COUNTIF(SprintBacklog模板!$B$5:$B$28,A7)</x:f>
        <x:v>#NAME?</x:v>
      </x:c>
      <x:c r="H7" s="5" t="e">
        <x:f>SUMIF(SprintBacklog模板!$B$5:$B$28,A7,SprintBacklog模板!$H$5:$H$28)</x:f>
        <x:v>#NAME?</x:v>
      </x:c>
      <x:c r="I7" s="5" t="str">
        <x:f t="shared" si="0"/>
        <x:v>已覆盖</x:v>
      </x:c>
      <x:c r="J7" s="5" t="s">
        <x:v>294</x:v>
      </x:c>
    </x:row>
    <x:row r="8" ht="68" customHeight="1">
      <x:c r="A8" s="5" t="s">
        <x:v>76</x:v>
      </x:c>
      <x:c r="B8" s="5" t="s">
        <x:v>77</x:v>
      </x:c>
      <x:c r="C8" s="5" t="s">
        <x:v>78</x:v>
      </x:c>
      <x:c r="D8" s="5" t="s">
        <x:v>56</x:v>
      </x:c>
      <x:c r="E8" s="5">
        <x:v>5</x:v>
      </x:c>
      <x:c r="F8" s="6" t="s">
        <x:v>295</x:v>
      </x:c>
      <x:c r="G8" s="5" t="e">
        <x:f>COUNTIF(SprintBacklog模板!$B$5:$B$28,A8)</x:f>
        <x:v>#NAME?</x:v>
      </x:c>
      <x:c r="H8" s="5" t="e">
        <x:f>SUMIF(SprintBacklog模板!$B$5:$B$28,A8,SprintBacklog模板!$H$5:$H$28)</x:f>
        <x:v>#NAME?</x:v>
      </x:c>
      <x:c r="I8" s="5" t="str">
        <x:f t="shared" si="0"/>
        <x:v>已覆盖</x:v>
      </x:c>
      <x:c r="J8" s="5" t="s">
        <x:v>296</x:v>
      </x:c>
    </x:row>
    <x:row r="9" ht="68" customHeight="1">
      <x:c r="A9" s="5" t="s">
        <x:v>90</x:v>
      </x:c>
      <x:c r="B9" s="5" t="s">
        <x:v>91</x:v>
      </x:c>
      <x:c r="C9" s="5" t="s">
        <x:v>92</x:v>
      </x:c>
      <x:c r="D9" s="5" t="s">
        <x:v>50</x:v>
      </x:c>
      <x:c r="E9" s="5">
        <x:v>5</x:v>
      </x:c>
      <x:c r="F9" s="6" t="s">
        <x:v>297</x:v>
      </x:c>
      <x:c r="G9" s="5" t="e">
        <x:f>COUNTIF(SprintBacklog模板!$B$5:$B$28,A9)</x:f>
        <x:v>#NAME?</x:v>
      </x:c>
      <x:c r="H9" s="5" t="e">
        <x:f>SUMIF(SprintBacklog模板!$B$5:$B$28,A9,SprintBacklog模板!$H$5:$H$28)</x:f>
        <x:v>#NAME?</x:v>
      </x:c>
      <x:c r="I9" s="5" t="str">
        <x:f t="shared" si="0"/>
        <x:v>已覆盖</x:v>
      </x:c>
      <x:c r="J9" s="5" t="s">
        <x:v>298</x:v>
      </x:c>
    </x:row>
    <x:row r="10" ht="68" customHeight="1">
      <x:c r="A10" s="5" t="s">
        <x:v>103</x:v>
      </x:c>
      <x:c r="B10" s="5" t="s">
        <x:v>104</x:v>
      </x:c>
      <x:c r="C10" s="5" t="s">
        <x:v>105</x:v>
      </x:c>
      <x:c r="D10" s="5" t="s">
        <x:v>65</x:v>
      </x:c>
      <x:c r="E10" s="5">
        <x:v>5</x:v>
      </x:c>
      <x:c r="F10" s="6" t="s">
        <x:v>299</x:v>
      </x:c>
      <x:c r="G10" s="5" t="e">
        <x:f>COUNTIF(SprintBacklog模板!$B$5:$B$28,A10)</x:f>
        <x:v>#NAME?</x:v>
      </x:c>
      <x:c r="H10" s="5" t="e">
        <x:f>SUMIF(SprintBacklog模板!$B$5:$B$28,A10,SprintBacklog模板!$H$5:$H$28)</x:f>
        <x:v>#NAME?</x:v>
      </x:c>
      <x:c r="I10" s="5" t="str">
        <x:f t="shared" si="0"/>
        <x:v>已覆盖</x:v>
      </x:c>
      <x:c r="J10" s="5" t="s">
        <x:v>300</x:v>
      </x:c>
    </x:row>
    <x:row r="11" ht="68" customHeight="1">
      <x:c r="A11" s="5" t="s">
        <x:v>117</x:v>
      </x:c>
      <x:c r="B11" s="5" t="s">
        <x:v>118</x:v>
      </x:c>
      <x:c r="C11" s="5" t="s">
        <x:v>119</x:v>
      </x:c>
      <x:c r="D11" s="5" t="s">
        <x:v>65</x:v>
      </x:c>
      <x:c r="E11" s="5">
        <x:v>5</x:v>
      </x:c>
      <x:c r="F11" s="6" t="s">
        <x:v>301</x:v>
      </x:c>
      <x:c r="G11" s="5" t="e">
        <x:f>COUNTIF(SprintBacklog模板!$B$5:$B$28,A11)</x:f>
        <x:v>#NAME?</x:v>
      </x:c>
      <x:c r="H11" s="5" t="e">
        <x:f>SUMIF(SprintBacklog模板!$B$5:$B$28,A11,SprintBacklog模板!$H$5:$H$28)</x:f>
        <x:v>#NAME?</x:v>
      </x:c>
      <x:c r="I11" s="5" t="str">
        <x:f t="shared" si="0"/>
        <x:v>已覆盖</x:v>
      </x:c>
      <x:c r="J11" s="5" t="s">
        <x:v>302</x:v>
      </x:c>
    </x:row>
    <x:row r="12" ht="68" customHeight="1">
      <x:c r="A12" s="5" t="s">
        <x:v>131</x:v>
      </x:c>
      <x:c r="B12" s="5" t="s">
        <x:v>132</x:v>
      </x:c>
      <x:c r="C12" s="5" t="s">
        <x:v>133</x:v>
      </x:c>
      <x:c r="D12" s="5" t="s">
        <x:v>56</x:v>
      </x:c>
      <x:c r="E12" s="5">
        <x:v>3</x:v>
      </x:c>
      <x:c r="F12" s="6" t="s">
        <x:v>303</x:v>
      </x:c>
      <x:c r="G12" s="5" t="e">
        <x:f>COUNTIF(SprintBacklog模板!$B$5:$B$28,A12)</x:f>
        <x:v>#NAME?</x:v>
      </x:c>
      <x:c r="H12" s="5" t="e">
        <x:f>SUMIF(SprintBacklog模板!$B$5:$B$28,A12,SprintBacklog模板!$H$5:$H$28)</x:f>
        <x:v>#NAME?</x:v>
      </x:c>
      <x:c r="I12" s="5" t="str">
        <x:f t="shared" si="0"/>
        <x:v>已覆盖</x:v>
      </x:c>
      <x:c r="J12" s="5" t="s">
        <x:v>304</x:v>
      </x:c>
    </x:row>
    <x:row r="13" ht="68" customHeight="1">
      <x:c r="A13" s="5" t="s">
        <x:v>144</x:v>
      </x:c>
      <x:c r="B13" s="5" t="s">
        <x:v>145</x:v>
      </x:c>
      <x:c r="C13" s="5" t="s">
        <x:v>146</x:v>
      </x:c>
      <x:c r="D13" s="5" t="s">
        <x:v>71</x:v>
      </x:c>
      <x:c r="E13" s="5">
        <x:v>3</x:v>
      </x:c>
      <x:c r="F13" s="6" t="s">
        <x:v>305</x:v>
      </x:c>
      <x:c r="G13" s="5" t="e">
        <x:f>COUNTIF(SprintBacklog模板!$B$5:$B$28,A13)</x:f>
        <x:v>#NAME?</x:v>
      </x:c>
      <x:c r="H13" s="5" t="e">
        <x:f>SUMIF(SprintBacklog模板!$B$5:$B$28,A13,SprintBacklog模板!$H$5:$H$28)</x:f>
        <x:v>#NAME?</x:v>
      </x:c>
      <x:c r="I13" s="5" t="str">
        <x:f t="shared" si="0"/>
        <x:v>已覆盖</x:v>
      </x:c>
      <x:c r="J13" s="5" t="s">
        <x:v>306</x:v>
      </x:c>
    </x:row>
    <x:row r="14" ht="68" customHeight="1">
      <x:c r="A14" s="5" t="s">
        <x:v>157</x:v>
      </x:c>
      <x:c r="B14" s="5" t="s">
        <x:v>158</x:v>
      </x:c>
      <x:c r="C14" s="5" t="s">
        <x:v>159</x:v>
      </x:c>
      <x:c r="D14" s="5" t="s">
        <x:v>50</x:v>
      </x:c>
      <x:c r="E14" s="5">
        <x:v>5</x:v>
      </x:c>
      <x:c r="F14" s="6" t="s">
        <x:v>307</x:v>
      </x:c>
      <x:c r="G14" s="5" t="e">
        <x:f>COUNTIF(SprintBacklog模板!$B$5:$B$28,A14)</x:f>
        <x:v>#NAME?</x:v>
      </x:c>
      <x:c r="H14" s="5" t="e">
        <x:f>SUMIF(SprintBacklog模板!$B$5:$B$28,A14,SprintBacklog模板!$H$5:$H$28)</x:f>
        <x:v>#NAME?</x:v>
      </x:c>
      <x:c r="I14" s="5" t="str">
        <x:f t="shared" si="0"/>
        <x:v>已覆盖</x:v>
      </x:c>
      <x:c r="J14" s="5" t="s">
        <x:v>308</x:v>
      </x:c>
    </x:row>
    <x:row r="15" ht="68" customHeight="1">
      <x:c r="A15" s="5" t="s">
        <x:v>172</x:v>
      </x:c>
      <x:c r="B15" s="5" t="s">
        <x:v>173</x:v>
      </x:c>
      <x:c r="C15" s="5" t="s">
        <x:v>174</x:v>
      </x:c>
      <x:c r="D15" s="5" t="s">
        <x:v>56</x:v>
      </x:c>
      <x:c r="E15" s="5">
        <x:v>3</x:v>
      </x:c>
      <x:c r="F15" s="6" t="s">
        <x:v>309</x:v>
      </x:c>
      <x:c r="G15" s="5" t="e">
        <x:f>COUNTIF(SprintBacklog模板!$B$5:$B$28,A15)</x:f>
        <x:v>#NAME?</x:v>
      </x:c>
      <x:c r="H15" s="5" t="e">
        <x:f>SUMIF(SprintBacklog模板!$B$5:$B$28,A15,SprintBacklog模板!$H$5:$H$28)</x:f>
        <x:v>#NAME?</x:v>
      </x:c>
      <x:c r="I15" s="5" t="str">
        <x:f t="shared" si="0"/>
        <x:v>已覆盖</x:v>
      </x:c>
      <x:c r="J15" s="5" t="s">
        <x:v>310</x:v>
      </x:c>
    </x:row>
    <x:row r="16" ht="68" customHeight="1">
      <x:c r="A16" s="5" t="s">
        <x:v>186</x:v>
      </x:c>
      <x:c r="B16" s="5" t="s">
        <x:v>187</x:v>
      </x:c>
      <x:c r="C16" s="5" t="s">
        <x:v>188</x:v>
      </x:c>
      <x:c r="D16" s="5" t="s">
        <x:v>71</x:v>
      </x:c>
      <x:c r="E16" s="5">
        <x:v>2</x:v>
      </x:c>
      <x:c r="F16" s="6" t="s">
        <x:v>311</x:v>
      </x:c>
      <x:c r="G16" s="5" t="e">
        <x:f>COUNTIF(SprintBacklog模板!$B$5:$B$28,A16)</x:f>
        <x:v>#NAME?</x:v>
      </x:c>
      <x:c r="H16" s="5" t="e">
        <x:f>SUMIF(SprintBacklog模板!$B$5:$B$28,A16,SprintBacklog模板!$H$5:$H$28)</x:f>
        <x:v>#NAME?</x:v>
      </x:c>
      <x:c r="I16" s="5" t="str">
        <x:f t="shared" si="0"/>
        <x:v>已覆盖</x:v>
      </x:c>
      <x:c r="J16" s="5" t="s">
        <x:v>312</x:v>
      </x:c>
    </x:row>
    <x:row r="17" ht="68" customHeight="1">
      <x:c r="A17" s="5" t="s">
        <x:v>200</x:v>
      </x:c>
      <x:c r="B17" s="5" t="s">
        <x:v>201</x:v>
      </x:c>
      <x:c r="C17" s="5" t="s">
        <x:v>202</x:v>
      </x:c>
      <x:c r="D17" s="5" t="s">
        <x:v>71</x:v>
      </x:c>
      <x:c r="E17" s="5">
        <x:v>5</x:v>
      </x:c>
      <x:c r="F17" s="6" t="s">
        <x:v>313</x:v>
      </x:c>
      <x:c r="G17" s="5" t="e">
        <x:f>COUNTIF(SprintBacklog模板!$B$5:$B$28,A17)</x:f>
        <x:v>#NAME?</x:v>
      </x:c>
      <x:c r="H17" s="5" t="e">
        <x:f>SUMIF(SprintBacklog模板!$B$5:$B$28,A17,SprintBacklog模板!$H$5:$H$28)</x:f>
        <x:v>#NAME?</x:v>
      </x:c>
      <x:c r="I17" s="5" t="str">
        <x:f t="shared" si="0"/>
        <x:v>已覆盖</x:v>
      </x:c>
      <x:c r="J17" s="5" t="s">
        <x:v>314</x:v>
      </x:c>
    </x:row>
    <x:row r="18" ht="15.75">
      <x:c r="A18" s="7" t="s">
        <x:v>246</x:v>
      </x:c>
      <x:c r="B18" s="7"/>
      <x:c r="C18" s="7" t="s">
        <x:v>315</x:v>
      </x:c>
      <x:c r="D18" s="7"/>
      <x:c r="E18" s="7" t="n">
        <x:f>SUM(E6:E17)</x:f>
        <x:v>47</x:v>
      </x:c>
      <x:c r="F18" s="8"/>
      <x:c r="G18" s="7" t="e">
        <x:f>SUM(G6:G17)</x:f>
        <x:v>#NAME?</x:v>
      </x:c>
      <x:c r="H18" s="7" t="e">
        <x:f>SUM(H6:H17)</x:f>
        <x:v>#NAME?</x:v>
      </x:c>
      <x:c r="I18" s="7" t="e">
        <x:f>IF(G18=24,"完整","检查")</x:f>
        <x:v>#NAME?</x:v>
      </x:c>
      <x:c r="J18" s="7"/>
    </x:row>
    <x:row r="20" ht="15.399999618530273">
      <x:c r="A20" s="9" t="s">
        <x:v>316</x:v>
      </x:c>
      <x:c r="B20" s="9" t="s">
        <x:v>316</x:v>
      </x:c>
      <x:c r="C20" s="9" t="s">
        <x:v>316</x:v>
      </x:c>
      <x:c r="D20" s="9" t="s">
        <x:v>316</x:v>
      </x:c>
      <x:c r="E20" s="9" t="s">
        <x:v>316</x:v>
      </x:c>
      <x:c r="F20" s="9" t="s">
        <x:v>316</x:v>
      </x:c>
      <x:c r="G20" s="9" t="s">
        <x:v>316</x:v>
      </x:c>
      <x:c r="H20" s="9" t="s">
        <x:v>316</x:v>
      </x:c>
      <x:c r="I20" s="9" t="s">
        <x:v>316</x:v>
      </x:c>
      <x:c r="J20" s="9" t="s">
        <x:v>316</x:v>
      </x:c>
    </x:row>
    <x:row r="21">
      <x:c r="A21" s="10" t="s">
        <x:v>317</x:v>
      </x:c>
      <x:c r="B21" s="10" t="s">
        <x:v>20</x:v>
      </x:c>
      <x:c r="C21" s="10" t="s">
        <x:v>318</x:v>
      </x:c>
      <x:c r="D21" s="10" t="s">
        <x:v>319</x:v>
      </x:c>
    </x:row>
    <x:row r="22" ht="32" customHeight="1">
      <x:c r="A22" s="5" t="s">
        <x:v>320</x:v>
      </x:c>
      <x:c r="B22" s="5" t="s">
        <x:v>321</x:v>
      </x:c>
      <x:c r="C22" s="6" t="s">
        <x:v>322</x:v>
      </x:c>
      <x:c r="D22" s="6" t="s">
        <x:v>323</x:v>
      </x:c>
    </x:row>
    <x:row r="23" ht="32" customHeight="1">
      <x:c r="A23" s="5" t="s">
        <x:v>320</x:v>
      </x:c>
      <x:c r="B23" s="5" t="s">
        <x:v>324</x:v>
      </x:c>
      <x:c r="C23" s="6" t="s">
        <x:v>325</x:v>
      </x:c>
      <x:c r="D23" s="6" t="s">
        <x:v>326</x:v>
      </x:c>
    </x:row>
    <x:row r="24" ht="32" customHeight="1">
      <x:c r="A24" s="5" t="s">
        <x:v>320</x:v>
      </x:c>
      <x:c r="B24" s="5" t="s">
        <x:v>327</x:v>
      </x:c>
      <x:c r="C24" s="6" t="s">
        <x:v>328</x:v>
      </x:c>
      <x:c r="D24" s="6" t="s">
        <x:v>329</x:v>
      </x:c>
    </x:row>
    <x:row r="25" ht="32" customHeight="1">
      <x:c r="A25" s="5" t="s">
        <x:v>320</x:v>
      </x:c>
      <x:c r="B25" s="5" t="s">
        <x:v>330</x:v>
      </x:c>
      <x:c r="C25" s="6" t="s">
        <x:v>331</x:v>
      </x:c>
      <x:c r="D25" s="6" t="s">
        <x:v>332</x:v>
      </x:c>
    </x:row>
    <x:row r="26" ht="32" customHeight="1">
      <x:c r="A26" s="5" t="s">
        <x:v>320</x:v>
      </x:c>
      <x:c r="B26" s="5" t="s">
        <x:v>333</x:v>
      </x:c>
      <x:c r="C26" s="6" t="s">
        <x:v>334</x:v>
      </x:c>
      <x:c r="D26" s="6" t="s">
        <x:v>335</x:v>
      </x:c>
    </x:row>
    <x:row r="27" ht="32" customHeight="1">
      <x:c r="A27" s="5" t="s">
        <x:v>320</x:v>
      </x:c>
      <x:c r="B27" s="5" t="s">
        <x:v>336</x:v>
      </x:c>
      <x:c r="C27" s="6" t="s">
        <x:v>337</x:v>
      </x:c>
      <x:c r="D27" s="6" t="s">
        <x:v>338</x:v>
      </x:c>
    </x:row>
    <x:row r="28" ht="32" customHeight="1">
      <x:c r="A28" s="5" t="s">
        <x:v>320</x:v>
      </x:c>
      <x:c r="B28" s="5" t="s">
        <x:v>339</x:v>
      </x:c>
      <x:c r="C28" s="6" t="s">
        <x:v>340</x:v>
      </x:c>
      <x:c r="D28" s="6" t="s">
        <x:v>341</x:v>
      </x:c>
    </x:row>
    <x:row r="29" ht="32" customHeight="1">
      <x:c r="A29" s="5" t="s">
        <x:v>320</x:v>
      </x:c>
      <x:c r="B29" s="5" t="s">
        <x:v>342</x:v>
      </x:c>
      <x:c r="C29" s="6" t="s">
        <x:v>343</x:v>
      </x:c>
      <x:c r="D29" s="6" t="s">
        <x:v>344</x:v>
      </x:c>
    </x:row>
    <x:row r="30" ht="32" customHeight="1">
      <x:c r="A30" s="5" t="s">
        <x:v>345</x:v>
      </x:c>
      <x:c r="B30" s="5" t="s">
        <x:v>346</x:v>
      </x:c>
      <x:c r="C30" s="6" t="s">
        <x:v>347</x:v>
      </x:c>
      <x:c r="D30" s="6" t="s">
        <x:v>348</x:v>
      </x:c>
    </x:row>
    <x:row r="31" ht="32" customHeight="1">
      <x:c r="A31" s="5" t="s">
        <x:v>345</x:v>
      </x:c>
      <x:c r="B31" s="5" t="s">
        <x:v>349</x:v>
      </x:c>
      <x:c r="C31" s="6" t="s">
        <x:v>350</x:v>
      </x:c>
      <x:c r="D31" s="6" t="s">
        <x:v>351</x:v>
      </x:c>
    </x:row>
    <x:row r="32" ht="32" customHeight="1">
      <x:c r="A32" s="5" t="s">
        <x:v>345</x:v>
      </x:c>
      <x:c r="B32" s="5" t="s">
        <x:v>352</x:v>
      </x:c>
      <x:c r="C32" s="6" t="s">
        <x:v>353</x:v>
      </x:c>
      <x:c r="D32" s="6" t="s">
        <x:v>354</x:v>
      </x:c>
    </x:row>
    <x:row r="33" ht="32" customHeight="1">
      <x:c r="A33" s="5" t="s">
        <x:v>345</x:v>
      </x:c>
      <x:c r="B33" s="5" t="s">
        <x:v>355</x:v>
      </x:c>
      <x:c r="C33" s="6" t="s">
        <x:v>356</x:v>
      </x:c>
      <x:c r="D33" s="6" t="s">
        <x:v>357</x:v>
      </x:c>
    </x:row>
    <x:row r="34" ht="32" customHeight="1">
      <x:c r="A34" s="5" t="s">
        <x:v>345</x:v>
      </x:c>
      <x:c r="B34" s="5" t="s">
        <x:v>358</x:v>
      </x:c>
      <x:c r="C34" s="6" t="s">
        <x:v>359</x:v>
      </x:c>
      <x:c r="D34" s="6" t="s">
        <x:v>360</x:v>
      </x:c>
    </x:row>
    <x:row r="35" ht="32" customHeight="1">
      <x:c r="A35" s="5" t="s">
        <x:v>345</x:v>
      </x:c>
      <x:c r="B35" s="5" t="s">
        <x:v>361</x:v>
      </x:c>
      <x:c r="C35" s="6" t="s">
        <x:v>362</x:v>
      </x:c>
      <x:c r="D35" s="6" t="s">
        <x:v>363</x:v>
      </x:c>
    </x:row>
    <x:row r="36" ht="32" customHeight="1">
      <x:c r="A36" s="5" t="s">
        <x:v>345</x:v>
      </x:c>
      <x:c r="B36" s="5" t="s">
        <x:v>364</x:v>
      </x:c>
      <x:c r="C36" s="6" t="s">
        <x:v>365</x:v>
      </x:c>
      <x:c r="D36" s="6" t="s">
        <x:v>366</x:v>
      </x:c>
    </x:row>
    <x:row r="37" ht="32" customHeight="1">
      <x:c r="A37" s="5" t="s">
        <x:v>367</x:v>
      </x:c>
      <x:c r="B37" s="5" t="s">
        <x:v>368</x:v>
      </x:c>
      <x:c r="C37" s="6" t="s">
        <x:v>369</x:v>
      </x:c>
      <x:c r="D37" s="6" t="s">
        <x:v>370</x:v>
      </x:c>
    </x:row>
    <x:row r="38" ht="32" customHeight="1">
      <x:c r="A38" s="5" t="s">
        <x:v>367</x:v>
      </x:c>
      <x:c r="B38" s="5" t="s">
        <x:v>371</x:v>
      </x:c>
      <x:c r="C38" s="6" t="s">
        <x:v>372</x:v>
      </x:c>
      <x:c r="D38" s="6" t="s">
        <x:v>373</x:v>
      </x:c>
    </x:row>
    <x:row r="39" ht="32" customHeight="1">
      <x:c r="A39" s="5" t="s">
        <x:v>374</x:v>
      </x:c>
      <x:c r="B39" s="5" t="s">
        <x:v>375</x:v>
      </x:c>
      <x:c r="C39" s="6" t="s">
        <x:v>376</x:v>
      </x:c>
      <x:c r="D39" s="6" t="s">
        <x:v>377</x:v>
      </x:c>
    </x:row>
  </x:sheetData>
  <x:mergeCells>
    <x:mergeCell ref="A1:J1"/>
    <x:mergeCell ref="A2:J2"/>
    <x:mergeCell ref="A3:J3"/>
    <x:mergeCell ref="A20:J20"/>
  </x:mergeCells>
  <x:conditionalFormatting sqref="I6:I17">
    <x:cfRule type="containsText" dxfId="0" priority="1" operator="between" text="已覆盖">
      <x:formula>NOT(ISERROR(SEARCH("已覆盖",I6)))</x:formula>
    </x:cfRule>
    <x:cfRule type="containsText" dxfId="1" priority="2" operator="between" text="缺口">
      <x:formula>NOT(ISERROR(SEARCH("缺口",I6)))</x:formula>
    </x:cfRule>
  </x:conditionalFormatting>
  <x:pageMargins left="0.7" right="0.7" top="0.75" bottom="0.75" header="0.3" footer="0.3"/>
</x:worksheet>
</file>