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8476e7bb4048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版权说明" sheetId="4" r:id="Rd763ddaaa62242bc"/>
    <x:sheet xmlns:r="http://schemas.openxmlformats.org/officeDocument/2006/relationships" name="SprintBacklog模板" sheetId="2" r:id="R688a1c303c3f4a82"/>
    <x:sheet xmlns:r="http://schemas.openxmlformats.org/officeDocument/2006/relationships" name="燃尽图" sheetId="5" r:id="Ra2999bc9fe6a4785"/>
    <x:sheet xmlns:r="http://schemas.openxmlformats.org/officeDocument/2006/relationships" name="PBI追溯" sheetId="6" r:id="R4df8b54879cc4ef4"/>
    <x:sheet xmlns:r="http://schemas.openxmlformats.org/officeDocument/2006/relationships" name="LLM接入设计" sheetId="7" r:id="R9187d05b5b534634"/>
    <x:sheet xmlns:r="http://schemas.openxmlformats.org/officeDocument/2006/relationships" name="LLM JSON契约" sheetId="8" r:id="Rc647460c1db64792"/>
  </x:sheets>
  <x:definedNames>
    <x:definedName name="_xlnm.Print_Area" localSheetId="0">'版权说明'!$A$1:$H$18</x:definedName>
    <x:definedName name="_xlnm.Print_Titles" localSheetId="0">'版权说明'!$1:$2</x:definedName>
    <x:definedName name="_xlnm.Print_Area" localSheetId="1">'SprintBacklog模板'!$A$1:$V$28</x:definedName>
    <x:definedName name="_xlnm.Print_Titles" localSheetId="1">'SprintBacklog模板'!$4:$4</x:definedName>
    <x:definedName name="_xlnm.Print_Area" localSheetId="2">'燃尽图'!$A$1:$P$38</x:definedName>
    <x:definedName name="_xlnm.Print_Titles" localSheetId="2">'燃尽图'!$1:$4</x:definedName>
    <x:definedName name="_xlnm.Print_Area" localSheetId="3">'PBI追溯'!$A$1:$J$32</x:definedName>
    <x:definedName name="_xlnm.Print_Titles" localSheetId="3">'PBI追溯'!$5:$5</x:definedName>
    <x:definedName name="_xlnm.Print_Area" localSheetId="4">'LLM接入设计'!$A$1:$H$73</x:definedName>
    <x:definedName name="_xlnm.Print_Titles" localSheetId="4">'LLM接入设计'!$1:$2</x:definedName>
    <x:definedName name="_xlnm.Print_Area" localSheetId="5">'LLM JSON契约'!$A$1:$H$45</x:definedName>
    <x:definedName name="_xlnm.Print_Titles" localSheetId="5">'LLM JSON契约'!$4:$4</x:definedName>
  </x:definedNames>
</x:workbook>
</file>

<file path=xl/comments1.xml><?xml version="1.0" encoding="utf-8"?>
<x:comments xmlns:x="http://schemas.openxmlformats.org/spreadsheetml/2006/main">
  <x:authors>
    <x:author>作者</x:author>
  </x:authors>
  <x:commentList>
    <x:comment ref="C1" authorId="0">
      <x:text>
        <x:r>
          <x:t>作者:
示例团队的速率为80个故事点</x:t>
        </x:r>
      </x:text>
    </x:comment>
    <x:comment ref="E1" authorId="0">
      <x:text>
        <x:r>
          <x:t>作者:
优先级预留后面两位，使调整优先级的时候更加方便</x:t>
        </x:r>
      </x:text>
    </x:comment>
    <x:comment ref="G3" authorId="0">
      <x:text>
        <x:r>
          <x:t>作者:
Sprint承诺完成600h工作量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<x:sst xmlns:x="http://schemas.openxmlformats.org/spreadsheetml/2006/main">
  <x:si>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行知旅伴 V2.3 · Sprint 1 待办列表</x:t>
  </x:si>
  <x:si>
    <x:t xml:space="preserve">Sprint 1 模板基线</x:t>
  </x:si>
  <x:si>
    <x:t xml:space="preserve">C:/Users/lenovo/Desktop/实训/2026lindashixun12zu/doc/行知旅伴_V2.3_Sprint1待办列表_含负责人.xlsx</x:t>
  </x:si>
  <x:si>
    <x:t xml:space="preserve">V2.3 产品待办表</x:t>
  </x:si>
  <x:si>
    <x:t xml:space="preserve">C:/Users/lenovo/Desktop/实训/2026lindashixun12zu/doc/行知旅伴_V2.3_产品待办列表_含负责人.xlsx</x:t>
  </x:si>
  <x:si>
    <x:t xml:space="preserve">V2.3 项目规划</x:t>
  </x:si>
  <x:si>
    <x:t xml:space="preserve">C:/Users/lenovo/Desktop/实训/2026lindashixun12zu/doc/行知旅伴_旅行规划Agent_Scrum项目规划_V2.3.docx</x:t>
  </x:si>
  <x:si>
    <x:t xml:space="preserve">燃尽图由Sprintbacklog中的数据自动生成。</x:t>
  </x:si>
  <x:si>
    <x:t xml:space="preserve">本模板由Scrum中文网提供，欢迎推荐给任何在实践Scrum的朋友使用。</x:t>
  </x:si>
  <x:si>
    <x:t xml:space="preserve">Scrum中文网(ScrumCN.COM)版权所有</x:t>
  </x:si>
  <x:si>
    <x:t xml:space="preserve">Task-ID</x:t>
  </x:si>
  <x:si>
    <x:t xml:space="preserve">PBI-ID</x:t>
  </x:si>
  <x:si>
    <x:t xml:space="preserve">AC-ID</x:t>
  </x:si>
  <x:si>
    <x:t xml:space="preserve">用户故事 / PBI 条目</x:t>
  </x:si>
  <x:si>
    <x:t xml:space="preserve">可执行 Task</x:t>
  </x:si>
  <x:si>
    <x:t xml:space="preserve">优先级</x:t>
  </x:si>
  <x:si>
    <x:t xml:space="preserve">PBI Story Point
（不换算工时）</x:t>
  </x:si>
  <x:si>
    <x:t xml:space="preserve">估算（小时）</x:t>
  </x:si>
  <x:si>
    <x:t xml:space="preserve">计划完成日</x:t>
  </x:si>
  <x:si>
    <x:t xml:space="preserve">前置依赖</x:t>
  </x:si>
  <x:si>
    <x:t xml:space="preserve">负责人</x:t>
  </x:si>
  <x:si>
    <x:t xml:space="preserve">可协作人 / 动态评审</x:t>
  </x:si>
  <x:si>
    <x:t xml:space="preserve">状态</x:t>
  </x:si>
  <x:si>
    <x:t xml:space="preserve">验收条件</x:t>
  </x:si>
  <x:si>
    <x:t xml:space="preserve">交付证据</x:t>
  </x:si>
  <x:si>
    <x:t xml:space="preserve">3 天 Sprint 燃尽（任务级剩余工时）</x:t>
  </x:si>
  <x:si>
    <x:t xml:space="preserve">完成判定</x:t>
  </x:si>
  <x:si>
    <x:t xml:space="preserve">Day1 计划</x:t>
  </x:si>
  <x:si>
    <x:t xml:space="preserve">Day1 实际</x:t>
  </x:si>
  <x:si>
    <x:t xml:space="preserve">Day2 计划</x:t>
  </x:si>
  <x:si>
    <x:t xml:space="preserve">Day2 实际</x:t>
  </x:si>
  <x:si>
    <x:t xml:space="preserve">Day3 计划</x:t>
  </x:si>
  <x:si>
    <x:t xml:space="preserve">Day3 实际</x:t>
  </x:si>
  <x:si>
    <x:t xml:space="preserve">Sprint 1 · 容量、燃尽与 Review 门禁</x:t>
  </x:si>
  <x:si>
    <x:t xml:space="preserve">Sprint Goal：第一次 Review 就能展示关怀单人完整 Agent</x:t>
  </x:si>
  <x:si>
    <x:t xml:space="preserve">实际剩余工时列初始化为计划基线，Sprint 执行后由每日站会更新黄色输入格；所有汇总、偏差、完成率与图表均由公式回算。</x:t>
  </x:si>
  <x:si>
    <x:t xml:space="preserve">燃尽口径</x:t>
  </x:si>
  <x:si>
    <x:t xml:space="preserve">计划基线</x:t>
  </x:si>
  <x:si>
    <x:t xml:space="preserve">Day1/Day2 分别对应项目 Day4/Day5；Day3（项目 Day6）仅做联调验收、Review、彩排和关键缺陷修复，不新增常规开发承诺。</x:t>
  </x:si>
  <x:si>
    <x:t xml:space="preserve">切换为“执行中”后，每日更新 SprintBacklog模板 的 Day1/Day2/Day3 实际剩余工时；Day3 仅关键缺陷修复可占用临时缓冲，不新增常规开发承诺。</x:t>
  </x:si>
  <x:si>
    <x:t xml:space="preserve">关键指标</x:t>
  </x:si>
  <x:si>
    <x:t xml:space="preserve">公式值</x:t>
  </x:si>
  <x:si>
    <x:t xml:space="preserve">校验/说明</x:t>
  </x:si>
  <x:si>
    <x:t xml:space="preserve">计划总工时</x:t>
  </x:si>
  <x:si>
    <x:t xml:space="preserve">必须 = 48 人时</x:t>
  </x:si>
  <x:si>
    <x:t xml:space="preserve">Task 数</x:t>
  </x:si>
  <x:si>
    <x:t xml:space="preserve">24 个可执行开发 Task</x:t>
  </x:si>
  <x:si>
    <x:t xml:space="preserve">Day3 常规开发容量</x:t>
  </x:si>
  <x:si>
    <x:t xml:space="preserve">Review/验收/演示/彩排与关键缺陷处理，不预占常规容量</x:t>
  </x:si>
  <x:si>
    <x:t xml:space="preserve">成员</x:t>
  </x:si>
  <x:si>
    <x:t xml:space="preserve">计划容量</x:t>
  </x:si>
  <x:si>
    <x:t xml:space="preserve">分配工时</x:t>
  </x:si>
  <x:si>
    <x:t xml:space="preserve">偏差</x:t>
  </x:si>
  <x:si>
    <x:t xml:space="preserve">Day1 工时</x:t>
  </x:si>
  <x:si>
    <x:t xml:space="preserve">Day2 工时</x:t>
  </x:si>
  <x:si>
    <x:t xml:space="preserve">容量状态</x:t>
  </x:si>
  <x:si>
    <x:t xml:space="preserve">兼任职责</x:t>
  </x:si>
  <x:si>
    <x:t xml:space="preserve">主责方向（非技术壁垒）</x:t>
  </x:si>
  <x:si>
    <x:t xml:space="preserve">陈梓元</x:t>
  </x:si>
  <x:si>
    <x:t xml:space="preserve">PO（兼任）</x:t>
  </x:si>
  <x:si>
    <x:t xml:space="preserve">多人模型、硬冲突、统一执行版本；同样承担联调与自测</x:t>
  </x:si>
  <x:si>
    <x:t xml:space="preserve">王敬博</x:t>
  </x:si>
  <x:si>
    <x:t xml:space="preserve">SM（兼任）</x:t>
  </x:si>
  <x:si>
    <x:t xml:space="preserve">公平推荐与任务照片；同样承担接口联调与自测</x:t>
  </x:si>
  <x:si>
    <x:t xml:space="preserve">张琪</x:t>
  </x:si>
  <x:si>
    <x:t xml:space="preserve">QA（兼任）</x:t>
  </x:si>
  <x:si>
    <x:t xml:space="preserve">一次性 GPS 与旅行回忆；同样承担接口联调与自测</x:t>
  </x:si>
  <x:si>
    <x:t xml:space="preserve">林粲涵</x:t>
  </x:si>
  <x:si>
    <x:t xml:space="preserve">迟到/疲劳重规划与移动端适配；同样承担全链验收</x:t>
  </x:si>
  <x:si>
    <x:t xml:space="preserve">合计</x:t>
  </x:si>
  <x:si>
    <x:t xml:space="preserve">四人均为开发者</x:t>
  </x:si>
  <x:si>
    <x:t xml:space="preserve">主责表示首要推进责任，不限制协作</x:t>
  </x:si>
  <x:si>
    <x:t xml:space="preserve">节点</x:t>
  </x:si>
  <x:si>
    <x:t xml:space="preserve">计划剩余</x:t>
  </x:si>
  <x:si>
    <x:t xml:space="preserve">实际剩余</x:t>
  </x:si>
  <x:si>
    <x:t xml:space="preserve">计划完成率</x:t>
  </x:si>
  <x:si>
    <x:t xml:space="preserve">实际完成率</x:t>
  </x:si>
  <x:si>
    <x:t xml:space="preserve">燃尽状态</x:t>
  </x:si>
  <x:si>
    <x:t xml:space="preserve">Sprint 开始</x:t>
  </x:si>
  <x:si>
    <x:t xml:space="preserve">Day1（项目 Day4）</x:t>
  </x:si>
  <x:si>
    <x:t xml:space="preserve">Day2（项目 Day5）</x:t>
  </x:si>
  <x:si>
    <x:t xml:space="preserve">Day3（项目 Day6）</x:t>
  </x:si>
  <x:si>
    <x:t xml:space="preserve">Day3 活动</x:t>
  </x:si>
  <x:si>
    <x:t xml:space="preserve">参与/主责</x:t>
  </x:si>
  <x:si>
    <x:t xml:space="preserve">容量口径</x:t>
  </x:si>
  <x:si>
    <x:t xml:space="preserve">验收证据</x:t>
  </x:si>
  <x:si>
    <x:t xml:space="preserve">协作与评审规则：四人均承担开发任务，主责字段仅表示首要推进责任；每个 PR 由非作者依据多人 Schema、金额、状态机、关怀安全、权限、媒体、交互或部署风险及当次可用性临时评审，不设固定互评搭档。</x:t>
  </x:si>
  <x:si>
    <x:t xml:space="preserve">协作与评审规则：四人均承担开发任务；主责字段只表示首要推进责任。可协作人按当前任务列示但不构成固定搭档。每个 PR 在实际提交时从非作者成员中，依据 Schema/金额/状态机/关怀安全/交互/部署等风险和当次可用性临时指定评审人。</x:t>
  </x:si>
  <x:si>
    <x:t xml:space="preserve">Sprint 1 · PBI / AC / Task / 交付证据追溯</x:t>
  </x:si>
  <x:si>
    <x:t xml:space="preserve">Sprint1 精确筛选自产品Backlog H 列 = Sprint1，共 12 条、47 SP；SP 仅作相对估算，不与 48 人时换算。</x:t>
  </x:si>
  <x:si>
    <x:t xml:space="preserve">Sprint2 条目</x:t>
  </x:si>
  <x:si>
    <x:t xml:space="preserve">产品负责人</x:t>
  </x:si>
  <x:si>
    <x:t xml:space="preserve">PBI SP</x:t>
  </x:si>
  <x:si>
    <x:t xml:space="preserve">产品 AC（Given/When/Then）</x:t>
  </x:si>
  <x:si>
    <x:t xml:space="preserve">Task 工时</x:t>
  </x:si>
  <x:si>
    <x:t xml:space="preserve">覆盖状态</x:t>
  </x:si>
  <x:si>
    <x:t xml:space="preserve">产品待办来源</x:t>
  </x:si>
  <x:si>
    <x:t xml:space="preserve">明确保留到后续 Sprint / 候选池的内容（不得偷放入 Sprint1）</x:t>
  </x:si>
  <x:si>
    <x:t xml:space="preserve">保留位置</x:t>
  </x:si>
  <x:si>
    <x:t xml:space="preserve">内容</x:t>
  </x:si>
  <x:si>
    <x:t xml:space="preserve">排除原因</x:t>
  </x:si>
  <x:si>
    <x:t xml:space="preserve">Sprint3</x:t>
  </x:si>
  <x:si>
    <x:t xml:space="preserve">PBI-13-S3</x:t>
  </x:si>
  <x:si>
    <x:t xml:space="preserve">最终响应式、可访问性与视觉 QA</x:t>
  </x:si>
  <x:si>
    <x:t xml:space="preserve">最终交付质量工作不计入 Sprint2。</x:t>
  </x:si>
  <x:si>
    <x:t xml:space="preserve">PBI-14-A</x:t>
  </x:si>
  <x:si>
    <x:t xml:space="preserve">故障、权限与未知事实降级</x:t>
  </x:si>
  <x:si>
    <x:t xml:space="preserve">完整降级矩阵保留到 Sprint3。</x:t>
  </x:si>
  <x:si>
    <x:t xml:space="preserve">PBI-15-A</x:t>
  </x:si>
  <x:si>
    <x:t xml:space="preserve">自动化测试与质量门禁</x:t>
  </x:si>
  <x:si>
    <x:t xml:space="preserve">全量门禁与覆盖率指标保留到 Sprint3。</x:t>
  </x:si>
  <x:si>
    <x:t xml:space="preserve">PBI-15-B</x:t>
  </x:si>
  <x:si>
    <x:t xml:space="preserve">部署、交付与答辩证据</x:t>
  </x:si>
  <x:si>
    <x:t xml:space="preserve">正式 RC 与答辩归档保留到 Sprint3。</x:t>
  </x:si>
  <x:si>
    <x:t xml:space="preserve">PBI-16-A</x:t>
  </x:si>
  <x:si>
    <x:t xml:space="preserve">三城完整端到端验证</x:t>
  </x:si>
  <x:si>
    <x:t xml:space="preserve">三城完整链是 Sprint3 验收。</x:t>
  </x:si>
  <x:si>
    <x:t xml:space="preserve">PBI-16-B</x:t>
  </x:si>
  <x:si>
    <x:t xml:space="preserve">两城在线烟测</x:t>
  </x:si>
  <x:si>
    <x:t xml:space="preserve">西安/杭州烟测是 Sprint3 验收。</x:t>
  </x:si>
  <x:si>
    <x:t xml:space="preserve">PBI-17-A</x:t>
  </x:si>
  <x:si>
    <x:t xml:space="preserve">多日 Schema 兼容</x:t>
  </x:si>
  <x:si>
    <x:t xml:space="preserve">Sprint3 Should/stretch，不占 Sprint2。</x:t>
  </x:si>
  <x:si>
    <x:t xml:space="preserve">P1</x:t>
  </x:si>
  <x:si>
    <x:t xml:space="preserve">PBI-18-P1</x:t>
  </x:si>
  <x:si>
    <x:t xml:space="preserve">均衡与省钱双方案</x:t>
  </x:si>
  <x:si>
    <x:t xml:space="preserve">双方案属于 P1，不占 Sprint2。</x:t>
  </x:si>
  <x:si>
    <x:t xml:space="preserve">PBI-19-P1</x:t>
  </x:si>
  <x:si>
    <x:t xml:space="preserve">美团旅行 Skill 可拔插验证</x:t>
  </x:si>
  <x:si>
    <x:t xml:space="preserve">美团 Skill 属于 P1，不占 Sprint2。</x:t>
  </x:si>
  <x:si>
    <x:t xml:space="preserve">Future</x:t>
  </x:si>
  <x:si>
    <x:t xml:space="preserve">PBI-20-F1</x:t>
  </x:si>
  <x:si>
    <x:t xml:space="preserve">成员通过链接独立加入</x:t>
  </x:si>
  <x:si>
    <x:t xml:space="preserve">Future 候选，不进入三个核心 Sprint。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</x:si>
</x:sst>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3" formatCode="_ * #,##0.00_ ;_ * \-#,##0.00_ ;_ * &quot;-&quot;??_ ;_ @_ "/>
    <x:numFmt numFmtId="176" formatCode="_ &quot;￥&quot;* #,##0_ ;_ &quot;￥&quot;* \-#,##0_ ;_ &quot;￥&quot;* &quot;-&quot;_ ;_ @_ "/>
    <x:numFmt numFmtId="177" formatCode="_ &quot;￥&quot;* #,##0.00_ ;_ &quot;￥&quot;* \-#,##0.00_ ;_ &quot;￥&quot;* &quot;-&quot;??_ ;_ @_ "/>
  </x:numFmts>
  <x:fonts count="44">
    <x:font>
      <x:sz val="12"/>
      <x:name val="宋体"/>
    </x:font>
    <x:font>
      <x:b/>
      <x:sz val="17"/>
      <x:color rgb="FFFFFFFF"/>
      <x:name val="Microsoft YaHei"/>
    </x:font>
    <x:font>
      <x:b/>
      <x:sz val="11"/>
      <x:color rgb="FF111827"/>
      <x:name val="Microsoft YaHei"/>
    </x:font>
    <x:font>
      <x:sz val="9"/>
      <x:color rgb="FF1F2937"/>
      <x:name val="Microsoft YaHei"/>
    </x:font>
    <x:font>
      <x:b/>
      <x:sz val="10"/>
      <x:color rgb="FF111827"/>
      <x:name val="Microsoft YaHei"/>
    </x:font>
    <x:font>
      <x:b/>
      <x:sz val="10"/>
      <x:color rgb="FF1F4E78"/>
      <x:name val="Microsoft YaHei"/>
    </x:font>
    <x:font>
      <x:b/>
      <x:sz val="9"/>
      <x:color rgb="FF1F2937"/>
      <x:name val="Microsoft YaHei"/>
    </x:font>
    <x:font>
      <x:b/>
      <x:sz val="12"/>
      <x:color rgb="FF1F4E78"/>
      <x:name val="Microsoft YaHei"/>
    </x:font>
    <x:font>
      <x:b/>
      <x:sz val="9"/>
      <x:color rgb="FF1F4E78"/>
      <x:name val="Microsoft YaHei"/>
    </x:font>
    <x:font>
      <x:b/>
      <x:sz val="11"/>
      <x:color rgb="FF1F2937"/>
      <x:name val="Microsoft YaHei"/>
    </x:font>
    <x:font>
      <x:b/>
      <x:sz val="18"/>
      <x:color rgb="FFFFFFFF"/>
      <x:name val="Microsoft YaHei"/>
    </x:font>
    <x:font>
      <x:sz val="10"/>
      <x:color rgb="FF1F2937"/>
      <x:name val="Microsoft YaHei"/>
    </x:font>
    <x:font>
      <x:i/>
      <x:sz val="9"/>
      <x:color rgb="FF667085"/>
      <x:name val="Microsoft YaHei"/>
    </x:font>
    <x:font>
      <x:sz val="9"/>
      <x:color rgb="FF667085"/>
      <x:name val="Microsoft YaHei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sz val="9"/>
      <x:name val="宋体"/>
    </x:font>
    <x:font>
      <x:sz val="10"/>
      <x:color rgb="FF1D1D1F"/>
      <x:name val="Microsoft YaHei"/>
    </x:font>
    <x:font>
      <x:sz val="10"/>
      <x:color rgb="FF5F6B7A"/>
      <x:name val="Microsoft YaHei"/>
    </x:font>
    <x:font>
      <x:b/>
      <x:sz val="11"/>
      <x:color rgb="FF1D1D1F"/>
      <x:name val="Microsoft YaHei"/>
    </x:font>
    <x:font>
      <x:b/>
      <x:sz val="10"/>
      <x:color rgb="FF1D1D1F"/>
      <x:name val="Microsoft YaHei"/>
    </x:font>
    <x:font>
      <x:sz val="9"/>
      <x:color rgb="FF1D1D1F"/>
      <x:name val="Microsoft YaHei"/>
    </x:font>
    <x:font>
      <x:b/>
      <x:sz val="11"/>
      <x:color rgb="FF1F4E78"/>
      <x:name val="Microsoft YaHei"/>
    </x:font>
    <x:font>
      <x:b/>
      <x:sz val="10"/>
      <x:color rgb="FFB42318"/>
      <x:name val="Microsoft YaHei"/>
    </x:font>
    <x:font>
      <x:sz val="10"/>
      <x:color rgb="FF1F4E78"/>
      <x:name val="Consolas"/>
    </x:font>
    <x:font>
      <x:b/>
      <x:sz val="10"/>
      <x:color rgb="FF8A5A00"/>
      <x:name val="Microsoft YaHei"/>
    </x:font>
  </x:fonts>
  <x:fills count="5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9900"/>
      </x:patternFill>
    </x:fill>
    <x:fill>
      <x:patternFill patternType="solid">
        <x:fgColor rgb="FFEEF4FA"/>
      </x:patternFill>
    </x:fill>
    <x:fill>
      <x:patternFill patternType="solid">
        <x:fgColor rgb="FFFFCC00"/>
      </x:patternFill>
    </x:fill>
    <x:fill>
      <x:patternFill patternType="solid">
        <x:fgColor rgb="FFD9EAF7"/>
      </x:patternFill>
    </x:fill>
    <x:fill>
      <x:patternFill patternType="solid">
        <x:fgColor rgb="FFFFF4CC"/>
      </x:patternFill>
    </x:fill>
    <x:fill>
      <x:patternFill patternType="solid">
        <x:fgColor rgb="FFF3F4F6"/>
      </x:patternFill>
    </x:fill>
    <x:fill>
      <x:patternFill patternType="solid">
        <x:fgColor rgb="FFD9F7F7"/>
      </x:patternFill>
    </x:fill>
    <x:fill>
      <x:patternFill patternType="solid">
        <x:fgColor indexed="9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5"/>
      </x:patternFill>
    </x:fill>
    <x:fill>
      <x:patternFill patternType="solid">
        <x:fgColor theme="4" tint="0.59996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5"/>
      </x:patternFill>
    </x:fill>
    <x:fill>
      <x:patternFill patternType="solid">
        <x:fgColor theme="5" tint="0.59996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5"/>
      </x:patternFill>
    </x:fill>
    <x:fill>
      <x:patternFill patternType="solid">
        <x:fgColor theme="6" tint="0.59996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5"/>
      </x:patternFill>
    </x:fill>
    <x:fill>
      <x:patternFill patternType="solid">
        <x:fgColor theme="7" tint="0.59996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5"/>
      </x:patternFill>
    </x:fill>
    <x:fill>
      <x:patternFill patternType="solid">
        <x:fgColor theme="8" tint="0.59996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5"/>
      </x:patternFill>
    </x:fill>
    <x:fill>
      <x:patternFill patternType="solid">
        <x:fgColor theme="9" tint="0.59996"/>
      </x:patternFill>
    </x:fill>
    <x:fill>
      <x:patternFill patternType="solid">
        <x:fgColor theme="9" tint="0.39998"/>
      </x:patternFill>
    </x:fill>
    <x:fill>
      <x:patternFill patternType="solid">
        <x:fgColor rgb="FFDCE6F1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EEF4FA"/>
      </x:patternFill>
    </x:fill>
    <x:fill>
      <x:patternFill patternType="solid">
        <x:fgColor rgb="FFFF9900"/>
      </x:patternFill>
    </x:fill>
    <x:fill>
      <x:patternFill patternType="solid">
        <x:fgColor rgb="FFFFCC00"/>
      </x:patternFill>
    </x:fill>
    <x:fill>
      <x:patternFill patternType="solid">
        <x:fgColor rgb="FFD9F7F7"/>
      </x:patternFill>
    </x:fill>
    <x:fill>
      <x:patternFill patternType="solid">
        <x:fgColor rgb="FFFCE8E6"/>
      </x:patternFill>
    </x:fill>
    <x:fill>
      <x:patternFill patternType="solid">
        <x:fgColor rgb="FFFFF4CC"/>
      </x:patternFill>
    </x:fill>
  </x:fills>
  <x:borders count="50">
    <x:border/>
    <x:border>
      <x:left style="thin">
        <x:color rgb="FFAAB4C0"/>
      </x:left>
      <x:right style="thin">
        <x:color rgb="FFAAB4C0"/>
      </x:right>
      <x:top style="thin">
        <x:color rgb="FFAAB4C0"/>
      </x:top>
      <x:bottom style="thin">
        <x:color rgb="FFAAB4C0"/>
      </x:bottom>
    </x:border>
    <x:border>
      <x:left style="medium">
        <x:color rgb="FF1F4E78"/>
      </x:left>
      <x:right style="medium">
        <x:color rgb="FF1F4E78"/>
      </x:right>
      <x:top style="medium">
        <x:color rgb="FF1F4E78"/>
      </x:top>
      <x:bottom style="medium">
        <x:color rgb="FF1F4E78"/>
      </x:bottom>
    </x:border>
    <x:border>
      <x:left style="thin">
        <x:color rgb="FFAAB4C0"/>
      </x:left>
      <x:top style="thin">
        <x:color rgb="FFAAB4C0"/>
      </x:top>
    </x:border>
    <x:border>
      <x:top style="thin">
        <x:color rgb="FFAAB4C0"/>
      </x:top>
    </x:border>
    <x:border>
      <x:right style="thin">
        <x:color rgb="FFAAB4C0"/>
      </x:right>
      <x:top style="thin">
        <x:color rgb="FFAAB4C0"/>
      </x:top>
    </x:border>
    <x:border>
      <x:left style="thin">
        <x:color rgb="FFAAB4C0"/>
      </x:left>
      <x:bottom style="thin">
        <x:color rgb="FFAAB4C0"/>
      </x:bottom>
    </x:border>
    <x:border>
      <x:bottom style="thin">
        <x:color rgb="FFAAB4C0"/>
      </x:bottom>
    </x:border>
    <x:border>
      <x:right style="thin">
        <x:color rgb="FFAAB4C0"/>
      </x:right>
      <x:bottom style="thin">
        <x:color rgb="FFAAB4C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AAB4C0"/>
      </x:left>
    </x:border>
    <x:border>
      <x:right style="thin">
        <x:color rgb="FFAAB4C0"/>
      </x:right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5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AAB4C0"/>
      </x:left>
      <x:top style="thin">
        <x:color rgb="FFAAB4C0"/>
      </x:top>
      <x:bottom style="thin">
        <x:color rgb="FFAAB4C0"/>
      </x:bottom>
    </x:border>
    <x:border>
      <x:top style="thin">
        <x:color rgb="FFAAB4C0"/>
      </x:top>
      <x:bottom style="thin">
        <x:color rgb="FFAAB4C0"/>
      </x:bottom>
    </x:border>
    <x:border>
      <x:right style="thin">
        <x:color rgb="FFAAB4C0"/>
      </x:right>
      <x:top style="thin">
        <x:color rgb="FFAAB4C0"/>
      </x:top>
      <x:bottom style="thin">
        <x:color rgb="FFAAB4C0"/>
      </x:bottom>
    </x:border>
    <x:border>
      <x:left style="thin">
        <x:color rgb="FFE5E5EA"/>
      </x:left>
      <x:right style="thin">
        <x:color rgb="FFE5E5EA"/>
      </x:right>
      <x:top style="thin">
        <x:color rgb="FFE5E5EA"/>
      </x:top>
      <x:bottom style="thin">
        <x:color rgb="FFE5E5EA"/>
      </x:bottom>
    </x:border>
    <x:border>
      <x:left style="medium">
        <x:color rgb="FF1F4E78"/>
      </x:left>
      <x:top style="medium">
        <x:color rgb="FF1F4E78"/>
      </x:top>
    </x:border>
    <x:border>
      <x:top style="medium">
        <x:color rgb="FF1F4E78"/>
      </x:top>
    </x:border>
    <x:border>
      <x:right style="medium">
        <x:color rgb="FF1F4E78"/>
      </x:right>
      <x:top style="medium">
        <x:color rgb="FF1F4E78"/>
      </x:top>
    </x:border>
    <x:border>
      <x:left style="medium">
        <x:color rgb="FF1F4E78"/>
      </x:left>
      <x:bottom style="medium">
        <x:color rgb="FF1F4E78"/>
      </x:bottom>
    </x:border>
    <x:border>
      <x:bottom style="medium">
        <x:color rgb="FF1F4E78"/>
      </x:bottom>
    </x:border>
    <x:border>
      <x:right style="medium">
        <x:color rgb="FF1F4E78"/>
      </x:right>
      <x:bottom style="medium">
        <x:color rgb="FF1F4E78"/>
      </x:bottom>
    </x:border>
    <x:border>
      <x:left style="medium">
        <x:color rgb="FFB42318"/>
      </x:left>
      <x:top style="medium">
        <x:color rgb="FFB42318"/>
      </x:top>
    </x:border>
    <x:border>
      <x:top style="medium">
        <x:color rgb="FFB42318"/>
      </x:top>
    </x:border>
    <x:border>
      <x:right style="medium">
        <x:color rgb="FFB42318"/>
      </x:right>
      <x:top style="medium">
        <x:color rgb="FFB42318"/>
      </x:top>
    </x:border>
    <x:border>
      <x:left style="medium">
        <x:color rgb="FFB42318"/>
      </x:left>
    </x:border>
    <x:border>
      <x:right style="medium">
        <x:color rgb="FFB42318"/>
      </x:right>
    </x:border>
    <x:border>
      <x:left style="medium">
        <x:color rgb="FFB42318"/>
      </x:left>
      <x:bottom style="medium">
        <x:color rgb="FFB42318"/>
      </x:bottom>
    </x:border>
    <x:border>
      <x:bottom style="medium">
        <x:color rgb="FFB42318"/>
      </x:bottom>
    </x:border>
    <x:border>
      <x:right style="medium">
        <x:color rgb="FFB42318"/>
      </x:right>
      <x:bottom style="medium">
        <x:color rgb="FFB42318"/>
      </x:bottom>
    </x:border>
    <x:border>
      <x:left style="medium">
        <x:color rgb="FF1F4E78"/>
      </x:left>
    </x:border>
    <x:border>
      <x:right style="medium">
        <x:color rgb="FF1F4E78"/>
      </x:right>
    </x:border>
    <x:border>
      <x:left style="medium">
        <x:color rgb="FFFF9900"/>
      </x:left>
      <x:top style="medium">
        <x:color rgb="FFFF9900"/>
      </x:top>
    </x:border>
    <x:border>
      <x:top style="medium">
        <x:color rgb="FFFF9900"/>
      </x:top>
    </x:border>
    <x:border>
      <x:right style="medium">
        <x:color rgb="FFFF9900"/>
      </x:right>
      <x:top style="medium">
        <x:color rgb="FFFF9900"/>
      </x:top>
    </x:border>
    <x:border>
      <x:left style="medium">
        <x:color rgb="FFFF9900"/>
      </x:left>
    </x:border>
    <x:border>
      <x:right style="medium">
        <x:color rgb="FFFF9900"/>
      </x:right>
    </x:border>
    <x:border>
      <x:left style="medium">
        <x:color rgb="FFFF9900"/>
      </x:left>
      <x:bottom style="medium">
        <x:color rgb="FFFF9900"/>
      </x:bottom>
    </x:border>
    <x:border>
      <x:bottom style="medium">
        <x:color rgb="FFFF9900"/>
      </x:bottom>
    </x:border>
    <x:border>
      <x:right style="medium">
        <x:color rgb="FFFF9900"/>
      </x:right>
      <x:bottom style="medium">
        <x:color rgb="FFFF9900"/>
      </x:bottom>
    </x:border>
  </x:borders>
  <x:cellStyleXfs count="49">
    <x:xf numFmtId="0" fontId="0" fillId="0" borderId="0"/>
    <x:xf numFmtId="43" fontId="14" fillId="0" borderId="0" applyFont="0" applyFill="0" applyBorder="0" applyAlignment="0" applyProtection="0">
      <x:alignment vertical="center"/>
    </x:xf>
    <x:xf numFmtId="177" fontId="14" fillId="0" borderId="0" applyFont="0" applyFill="0" applyBorder="0" applyAlignment="0" applyProtection="0">
      <x:alignment vertical="center"/>
    </x:xf>
    <x:xf numFmtId="9" fontId="14" fillId="0" borderId="0" applyFont="0" applyFill="0" applyBorder="0" applyAlignment="0" applyProtection="0">
      <x:alignment vertical="center"/>
    </x:xf>
    <x:xf numFmtId="41" fontId="14" fillId="0" borderId="0" applyFont="0" applyFill="0" applyBorder="0" applyAlignment="0" applyProtection="0">
      <x:alignment vertical="center"/>
    </x:xf>
    <x:xf numFmtId="176" fontId="14" fillId="0" borderId="0" applyFont="0" applyFill="0" applyBorder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4" fillId="11" borderId="14" applyNumberFormat="0" applyFont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18" fillId="0" borderId="0" applyNumberFormat="0" applyFill="0" applyBorder="0" applyAlignment="0" applyProtection="0">
      <x:alignment vertical="center"/>
    </x:xf>
    <x:xf numFmtId="0" fontId="19" fillId="0" borderId="0" applyNumberFormat="0" applyFill="0" applyBorder="0" applyAlignment="0" applyProtection="0">
      <x:alignment vertical="center"/>
    </x:xf>
    <x:xf numFmtId="0" fontId="20" fillId="0" borderId="15" applyNumberFormat="0" applyFill="0" applyAlignment="0" applyProtection="0">
      <x:alignment vertical="center"/>
    </x:xf>
    <x:xf numFmtId="0" fontId="21" fillId="0" borderId="15" applyNumberFormat="0" applyFill="0" applyAlignment="0" applyProtection="0">
      <x:alignment vertical="center"/>
    </x:xf>
    <x:xf numFmtId="0" fontId="22" fillId="0" borderId="16" applyNumberFormat="0" applyFill="0" applyAlignment="0" applyProtection="0">
      <x:alignment vertical="center"/>
    </x:xf>
    <x:xf numFmtId="0" fontId="22" fillId="0" borderId="0" applyNumberFormat="0" applyFill="0" applyBorder="0" applyAlignment="0" applyProtection="0">
      <x:alignment vertical="center"/>
    </x:xf>
    <x:xf numFmtId="0" fontId="23" fillId="12" borderId="17" applyNumberFormat="0" applyAlignment="0" applyProtection="0">
      <x:alignment vertical="center"/>
    </x:xf>
    <x:xf numFmtId="0" fontId="24" fillId="13" borderId="18" applyNumberFormat="0" applyAlignment="0" applyProtection="0">
      <x:alignment vertical="center"/>
    </x:xf>
    <x:xf numFmtId="0" fontId="25" fillId="13" borderId="17" applyNumberFormat="0" applyAlignment="0" applyProtection="0">
      <x:alignment vertical="center"/>
    </x:xf>
    <x:xf numFmtId="0" fontId="26" fillId="14" borderId="19" applyNumberFormat="0" applyAlignment="0" applyProtection="0">
      <x:alignment vertical="center"/>
    </x:xf>
    <x:xf numFmtId="0" fontId="27" fillId="0" borderId="20" applyNumberFormat="0" applyFill="0" applyAlignment="0" applyProtection="0">
      <x:alignment vertical="center"/>
    </x:xf>
    <x:xf numFmtId="0" fontId="28" fillId="0" borderId="21" applyNumberFormat="0" applyFill="0" applyAlignment="0" applyProtection="0">
      <x:alignment vertical="center"/>
    </x:xf>
    <x:xf numFmtId="0" fontId="29" fillId="15" borderId="0" applyNumberFormat="0" applyBorder="0" applyAlignment="0" applyProtection="0">
      <x:alignment vertical="center"/>
    </x:xf>
    <x:xf numFmtId="0" fontId="30" fillId="16" borderId="0" applyNumberFormat="0" applyBorder="0" applyAlignment="0" applyProtection="0">
      <x:alignment vertical="center"/>
    </x:xf>
    <x:xf numFmtId="0" fontId="31" fillId="17" borderId="0" applyNumberFormat="0" applyBorder="0" applyAlignment="0" applyProtection="0">
      <x:alignment vertical="center"/>
    </x:xf>
    <x:xf numFmtId="0" fontId="32" fillId="18" borderId="0" applyNumberFormat="0" applyBorder="0" applyAlignment="0" applyProtection="0">
      <x:alignment vertical="center"/>
    </x:xf>
    <x:xf numFmtId="0" fontId="33" fillId="19" borderId="0" applyNumberFormat="0" applyBorder="0" applyAlignment="0" applyProtection="0">
      <x:alignment vertical="center"/>
    </x:xf>
    <x:xf numFmtId="0" fontId="33" fillId="20" borderId="0" applyNumberFormat="0" applyBorder="0" applyAlignment="0" applyProtection="0">
      <x:alignment vertical="center"/>
    </x:xf>
    <x:xf numFmtId="0" fontId="32" fillId="21" borderId="0" applyNumberFormat="0" applyBorder="0" applyAlignment="0" applyProtection="0">
      <x:alignment vertical="center"/>
    </x:xf>
    <x:xf numFmtId="0" fontId="32" fillId="22" borderId="0" applyNumberFormat="0" applyBorder="0" applyAlignment="0" applyProtection="0">
      <x:alignment vertical="center"/>
    </x:xf>
    <x:xf numFmtId="0" fontId="33" fillId="23" borderId="0" applyNumberFormat="0" applyBorder="0" applyAlignment="0" applyProtection="0">
      <x:alignment vertical="center"/>
    </x:xf>
    <x:xf numFmtId="0" fontId="33" fillId="24" borderId="0" applyNumberFormat="0" applyBorder="0" applyAlignment="0" applyProtection="0">
      <x:alignment vertical="center"/>
    </x:xf>
    <x:xf numFmtId="0" fontId="32" fillId="25" borderId="0" applyNumberFormat="0" applyBorder="0" applyAlignment="0" applyProtection="0">
      <x:alignment vertical="center"/>
    </x:xf>
    <x:xf numFmtId="0" fontId="32" fillId="26" borderId="0" applyNumberFormat="0" applyBorder="0" applyAlignment="0" applyProtection="0">
      <x:alignment vertical="center"/>
    </x:xf>
    <x:xf numFmtId="0" fontId="33" fillId="27" borderId="0" applyNumberFormat="0" applyBorder="0" applyAlignment="0" applyProtection="0">
      <x:alignment vertical="center"/>
    </x:xf>
    <x:xf numFmtId="0" fontId="33" fillId="28" borderId="0" applyNumberFormat="0" applyBorder="0" applyAlignment="0" applyProtection="0">
      <x:alignment vertical="center"/>
    </x:xf>
    <x:xf numFmtId="0" fontId="32" fillId="29" borderId="0" applyNumberFormat="0" applyBorder="0" applyAlignment="0" applyProtection="0">
      <x:alignment vertical="center"/>
    </x:xf>
    <x:xf numFmtId="0" fontId="32" fillId="30" borderId="0" applyNumberFormat="0" applyBorder="0" applyAlignment="0" applyProtection="0">
      <x:alignment vertical="center"/>
    </x:xf>
    <x:xf numFmtId="0" fontId="33" fillId="31" borderId="0" applyNumberFormat="0" applyBorder="0" applyAlignment="0" applyProtection="0">
      <x:alignment vertical="center"/>
    </x:xf>
    <x:xf numFmtId="0" fontId="33" fillId="32" borderId="0" applyNumberFormat="0" applyBorder="0" applyAlignment="0" applyProtection="0">
      <x:alignment vertical="center"/>
    </x:xf>
    <x:xf numFmtId="0" fontId="32" fillId="33" borderId="0" applyNumberFormat="0" applyBorder="0" applyAlignment="0" applyProtection="0">
      <x:alignment vertical="center"/>
    </x:xf>
    <x:xf numFmtId="0" fontId="32" fillId="34" borderId="0" applyNumberFormat="0" applyBorder="0" applyAlignment="0" applyProtection="0">
      <x:alignment vertical="center"/>
    </x:xf>
    <x:xf numFmtId="0" fontId="33" fillId="35" borderId="0" applyNumberFormat="0" applyBorder="0" applyAlignment="0" applyProtection="0">
      <x:alignment vertical="center"/>
    </x:xf>
    <x:xf numFmtId="0" fontId="33" fillId="36" borderId="0" applyNumberFormat="0" applyBorder="0" applyAlignment="0" applyProtection="0">
      <x:alignment vertical="center"/>
    </x:xf>
    <x:xf numFmtId="0" fontId="32" fillId="37" borderId="0" applyNumberFormat="0" applyBorder="0" applyAlignment="0" applyProtection="0">
      <x:alignment vertical="center"/>
    </x:xf>
    <x:xf numFmtId="0" fontId="32" fillId="38" borderId="0" applyNumberFormat="0" applyBorder="0" applyAlignment="0" applyProtection="0">
      <x:alignment vertical="center"/>
    </x:xf>
    <x:xf numFmtId="0" fontId="33" fillId="39" borderId="0" applyNumberFormat="0" applyBorder="0" applyAlignment="0" applyProtection="0">
      <x:alignment vertical="center"/>
    </x:xf>
    <x:xf numFmtId="0" fontId="33" fillId="40" borderId="0" applyNumberFormat="0" applyBorder="0" applyAlignment="0" applyProtection="0">
      <x:alignment vertical="center"/>
    </x:xf>
    <x:xf numFmtId="0" fontId="32" fillId="41" borderId="0" applyNumberFormat="0" applyBorder="0" applyAlignment="0" applyProtection="0">
      <x:alignment vertical="center"/>
    </x:xf>
  </x:cellStyleXfs>
  <x:cellXfs count="218">
    <x:xf numFmtId="0" fontId="0" fillId="0" borderId="0" xfId="0"/>
    <x:xf numFmtId="0" fontId="4" fillId="5" borderId="1" xfId="0" applyFont="1" applyFill="1" applyBorder="1" applyAlignment="1">
      <x:alignment horizontal="center" vertical="center" wrapText="1"/>
    </x:xf>
    <x:xf numFmtId="0" fontId="3" fillId="0" borderId="1" xfId="0" applyFont="1" applyBorder="1" applyAlignment="1">
      <x:alignment horizontal="center" vertical="center" wrapText="1"/>
    </x:xf>
    <x:xf numFmtId="0" fontId="3" fillId="0" borderId="1" xfId="0" applyFont="1" applyBorder="1" applyAlignment="1">
      <x:alignment vertical="center" wrapText="1"/>
    </x:xf>
    <x:xf numFmtId="0" fontId="5" fillId="6" borderId="2" xfId="0" applyFont="1" applyFill="1" applyBorder="1" applyAlignment="1">
      <x:alignment horizontal="center" vertical="center" wrapText="1"/>
    </x:xf>
    <x:xf numFmtId="0" fontId="5" fillId="6" borderId="2" xfId="0" applyFont="1" applyFill="1" applyBorder="1" applyAlignment="1">
      <x:alignment vertical="center" wrapText="1"/>
    </x:xf>
    <x:xf numFmtId="0" fontId="4" fillId="5" borderId="1" xfId="0" applyFont="1" applyFill="1" applyBorder="1" applyAlignment="1">
      <x:alignment horizontal="center"/>
    </x:xf>
    <x:xf numFmtId="0" fontId="6" fillId="7" borderId="1" xfId="0" applyFont="1" applyFill="1" applyBorder="1" applyAlignment="1">
      <x:alignment horizontal="center"/>
    </x:xf>
    <x:xf numFmtId="1" fontId="7" fillId="4" borderId="1" xfId="0" applyNumberFormat="1" applyFont="1" applyFill="1" applyBorder="1" applyAlignment="1">
      <x:alignment horizontal="center" vertical="center" wrapText="1"/>
    </x:xf>
    <x:xf numFmtId="0" fontId="8" fillId="6" borderId="2" xfId="0" applyFont="1" applyFill="1" applyBorder="1" applyAlignment="1">
      <x:alignment horizontal="center" vertical="center" wrapText="1"/>
    </x:xf>
    <x:xf numFmtId="0" fontId="8" fillId="6" borderId="2" xfId="0" applyFont="1" applyFill="1" applyBorder="1" applyAlignment="1">
      <x:alignment vertical="center" wrapText="1"/>
    </x:xf>
    <x:xf numFmtId="0" fontId="4" fillId="5" borderId="1" xfId="0" applyFont="1" applyFill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1" fontId="3" fillId="4" borderId="1" xfId="0" applyNumberFormat="1" applyFont="1" applyFill="1" applyBorder="1" applyAlignment="1">
      <x:alignment horizontal="center" vertical="center"/>
    </x:xf>
    <x:xf numFmtId="9" fontId="3" fillId="4" borderId="1" xfId="0" applyNumberFormat="1" applyFont="1" applyFill="1" applyBorder="1" applyAlignment="1">
      <x:alignment horizontal="center" vertical="center"/>
    </x:xf>
    <x:xf numFmtId="0" fontId="3" fillId="4" borderId="1" xfId="0" applyFont="1" applyFill="1" applyBorder="1" applyAlignment="1">
      <x:alignment horizontal="center" vertical="center"/>
    </x:xf>
    <x:xf numFmtId="0" fontId="4" fillId="3" borderId="1" xfId="0" applyFont="1" applyFill="1" applyBorder="1" applyAlignment="1">
      <x:alignment horizontal="center" vertical="center" wrapText="1"/>
    </x:xf>
    <x:xf numFmtId="0" fontId="0" fillId="0" borderId="9" xfId="0" applyBorder="1"/>
    <x:xf numFmtId="0" fontId="0" fillId="0" borderId="10" xfId="0" applyBorder="1"/>
    <x:xf numFmtId="0" fontId="8" fillId="9" borderId="1" xfId="0" applyFont="1" applyFill="1" applyBorder="1" applyAlignment="1">
      <x:alignment horizontal="center" vertical="center" wrapText="1"/>
    </x:xf>
    <x:xf numFmtId="0" fontId="8" fillId="9" borderId="1" xfId="0" applyFont="1" applyFill="1" applyBorder="1" applyAlignment="1">
      <x:alignment vertical="center" wrapText="1"/>
    </x:xf>
    <x:xf numFmtId="1" fontId="3" fillId="0" borderId="1" xfId="0" applyNumberFormat="1" applyFont="1" applyBorder="1" applyAlignment="1">
      <x:alignment horizontal="center" vertical="center" wrapText="1"/>
    </x:xf>
    <x:xf numFmtId="1" fontId="3" fillId="4" borderId="1" xfId="0" applyNumberFormat="1" applyFont="1" applyFill="1" applyBorder="1" applyAlignment="1">
      <x:alignment horizontal="center" vertical="center" wrapText="1"/>
    </x:xf>
    <x:xf numFmtId="1" fontId="3" fillId="7" borderId="1" xfId="0" applyNumberFormat="1" applyFont="1" applyFill="1" applyBorder="1" applyAlignment="1">
      <x:alignment horizontal="center" vertical="center" wrapText="1"/>
    </x:xf>
    <x:xf numFmtId="0" fontId="3" fillId="4" borderId="1" xfId="0" applyFont="1" applyFill="1" applyBorder="1" applyAlignment="1">
      <x:alignment horizontal="center" vertical="center" wrapText="1"/>
    </x:xf>
    <x:xf numFmtId="0" fontId="0" fillId="10" borderId="0" xfId="0" applyFill="1"/>
    <x:xf numFmtId="0" fontId="5" fillId="6" borderId="1" xfId="0" applyFont="1" applyFill="1" applyBorder="1" applyAlignment="1">
      <x:alignment vertical="center"/>
    </x:xf>
    <x:xf numFmtId="0" fontId="10" fillId="2" borderId="0" xfId="0" applyFont="1" applyFill="1" applyAlignment="1">
      <x:alignment horizontal="left" vertical="center"/>
    </x:xf>
    <x:xf numFmtId="0" fontId="11" fillId="0" borderId="1" xfId="0" applyFont="1" applyBorder="1" applyAlignment="1">
      <x:alignment vertical="center" wrapText="1"/>
    </x:xf>
    <x:xf numFmtId="0" fontId="12" fillId="0" borderId="0" xfId="0" applyFont="1" applyAlignment="1">
      <x:alignment horizontal="left"/>
    </x:xf>
    <x:xf numFmtId="0" fontId="13" fillId="0" borderId="0" xfId="0" applyFont="1" applyAlignment="1">
      <x:alignment horizontal="left"/>
    </x:xf>
    <x:xf numFmtId="0" fontId="11" fillId="4" borderId="3" xfId="0" applyFont="1" applyFill="1" applyBorder="1" applyAlignment="1">
      <x:alignment vertical="center" wrapText="1"/>
    </x:xf>
    <x:xf numFmtId="0" fontId="11" fillId="4" borderId="4" xfId="0" applyFont="1" applyFill="1" applyBorder="1" applyAlignment="1">
      <x:alignment vertical="center" wrapText="1"/>
    </x:xf>
    <x:xf numFmtId="0" fontId="11" fillId="4" borderId="5" xfId="0" applyFont="1" applyFill="1" applyBorder="1" applyAlignment="1">
      <x:alignment vertical="center" wrapText="1"/>
    </x:xf>
    <x:xf numFmtId="0" fontId="11" fillId="4" borderId="12" xfId="0" applyFont="1" applyFill="1" applyBorder="1" applyAlignment="1">
      <x:alignment vertical="center" wrapText="1"/>
    </x:xf>
    <x:xf numFmtId="0" fontId="11" fillId="4" borderId="0" xfId="0" applyFont="1" applyFill="1" applyAlignment="1">
      <x:alignment vertical="center" wrapText="1"/>
    </x:xf>
    <x:xf numFmtId="0" fontId="11" fillId="4" borderId="13" xfId="0" applyFont="1" applyFill="1" applyBorder="1" applyAlignment="1">
      <x:alignment vertical="center" wrapText="1"/>
    </x:xf>
    <x:xf numFmtId="0" fontId="11" fillId="4" borderId="6" xfId="0" applyFont="1" applyFill="1" applyBorder="1" applyAlignment="1">
      <x:alignment vertical="center" wrapText="1"/>
    </x:xf>
    <x:xf numFmtId="0" fontId="11" fillId="4" borderId="7" xfId="0" applyFont="1" applyFill="1" applyBorder="1" applyAlignment="1">
      <x:alignment vertical="center" wrapText="1"/>
    </x:xf>
    <x:xf numFmtId="0" fontId="11" fillId="4" borderId="8" xfId="0" applyFont="1" applyFill="1" applyBorder="1" applyAlignment="1">
      <x:alignment vertical="center" wrapText="1"/>
    </x:xf>
    <x:xf numFmtId="0" fontId="9" fillId="0" borderId="11" xfId="0" applyFont="1" applyBorder="1" applyAlignment="1">
      <x:alignment horizontal="center" vertical="center"/>
    </x:xf>
    <x:xf numFmtId="0" fontId="4" fillId="3" borderId="11" xfId="0" applyFont="1" applyFill="1" applyBorder="1" applyAlignment="1">
      <x:alignment horizontal="center" vertical="center" wrapText="1"/>
    </x:xf>
    <x:xf numFmtId="0" fontId="6" fillId="4" borderId="11" xfId="0" applyFont="1" applyFill="1" applyBorder="1" applyAlignment="1">
      <x:alignment horizontal="center" vertical="center" wrapText="1"/>
    </x:xf>
    <x:xf numFmtId="0" fontId="6" fillId="7" borderId="11" xfId="0" applyFont="1" applyFill="1" applyBorder="1" applyAlignment="1">
      <x:alignment horizontal="center" vertical="center" wrapText="1"/>
    </x:xf>
    <x:xf numFmtId="0" fontId="1" fillId="2" borderId="0" xfId="0" applyFont="1" applyFill="1" applyAlignment="1">
      <x:alignment horizontal="left" vertical="center"/>
    </x:xf>
    <x:xf numFmtId="0" fontId="2" fillId="3" borderId="0" xfId="0" applyFont="1" applyFill="1" applyAlignment="1">
      <x:alignment horizontal="left" vertical="center"/>
    </x:xf>
    <x:xf numFmtId="0" fontId="3" fillId="4" borderId="0" xfId="0" applyFont="1" applyFill="1"/>
    <x:xf numFmtId="0" fontId="3" fillId="7" borderId="0" xfId="0" applyFont="1" applyFill="1" applyAlignment="1">
      <x:alignment wrapText="1"/>
    </x:xf>
    <x:xf numFmtId="0" fontId="3" fillId="8" borderId="3" xfId="0" applyFont="1" applyFill="1" applyBorder="1" applyAlignment="1">
      <x:alignment vertical="center" wrapText="1"/>
    </x:xf>
    <x:xf numFmtId="0" fontId="3" fillId="8" borderId="4" xfId="0" applyFont="1" applyFill="1" applyBorder="1" applyAlignment="1">
      <x:alignment vertical="center" wrapText="1"/>
    </x:xf>
    <x:xf numFmtId="0" fontId="3" fillId="8" borderId="5" xfId="0" applyFont="1" applyFill="1" applyBorder="1" applyAlignment="1">
      <x:alignment vertical="center" wrapText="1"/>
    </x:xf>
    <x:xf numFmtId="0" fontId="3" fillId="8" borderId="6" xfId="0" applyFont="1" applyFill="1" applyBorder="1" applyAlignment="1">
      <x:alignment vertical="center" wrapText="1"/>
    </x:xf>
    <x:xf numFmtId="0" fontId="3" fillId="8" borderId="7" xfId="0" applyFont="1" applyFill="1" applyBorder="1" applyAlignment="1">
      <x:alignment vertical="center" wrapText="1"/>
    </x:xf>
    <x:xf numFmtId="0" fontId="3" fillId="8" borderId="8" xfId="0" applyFont="1" applyFill="1" applyBorder="1" applyAlignment="1">
      <x:alignment vertical="center" wrapText="1"/>
    </x:xf>
    <x:xf numFmtId="0" fontId="2" fillId="3" borderId="0" xfId="0" applyFont="1" applyFill="1"/>
    <x:xf numFmtId="0" fontId="5" fillId="42" borderId="1" xfId="0" applyNumberFormat="1" applyFont="1" applyFill="1" applyBorder="1" applyAlignment="1">
      <x:alignment vertical="center"/>
    </x:xf>
    <x:xf numFmtId="0" fontId="0" fillId="42" borderId="0" xfId="0" applyNumberFormat="1" applyFont="1" applyFill="1" applyBorder="1"/>
    <x:xf numFmtId="0" fontId="11" fillId="42" borderId="3" xfId="0" applyNumberFormat="1" applyFont="1" applyFill="1" applyBorder="1" applyAlignment="1">
      <x:alignment vertical="center" wrapText="1"/>
    </x:xf>
    <x:xf numFmtId="0" fontId="5" fillId="42" borderId="0" xfId="0" applyNumberFormat="1" applyFont="1" applyFill="1" applyBorder="1"/>
    <x:xf numFmtId="0" fontId="5" fillId="42" borderId="3" xfId="0" applyNumberFormat="1" applyFont="1" applyFill="1" applyBorder="1" applyAlignment="1">
      <x:alignment vertical="center" wrapText="1"/>
    </x:xf>
    <x:xf numFmtId="0" fontId="5" fillId="42" borderId="1" xfId="0" applyNumberFormat="1" applyFont="1" applyFill="1" applyBorder="1"/>
    <x:xf numFmtId="0" fontId="5" fillId="42" borderId="1" xfId="0" applyNumberFormat="1" applyFont="1" applyFill="1" applyBorder="1" applyAlignment="1">
      <x:alignment vertical="center" wrapText="1"/>
    </x:xf>
    <x:xf numFmtId="0" fontId="5" fillId="42" borderId="1" xfId="0" applyNumberFormat="1" applyFont="1" applyFill="1" applyBorder="1" applyAlignment="1">
      <x:alignment wrapText="1"/>
    </x:xf>
    <x:xf numFmtId="0" fontId="11" fillId="43" borderId="1" xfId="0" applyNumberFormat="1" applyFont="1" applyFill="1" applyBorder="1" applyAlignment="1">
      <x:alignment vertical="center" wrapText="1"/>
    </x:xf>
    <x:xf numFmtId="0" fontId="0" fillId="43" borderId="0" xfId="0" applyNumberFormat="1" applyFont="1" applyFill="1" applyBorder="1"/>
    <x:xf numFmtId="0" fontId="11" fillId="43" borderId="4" xfId="0" applyNumberFormat="1" applyFont="1" applyFill="1" applyBorder="1" applyAlignment="1">
      <x:alignment vertical="center" wrapText="1"/>
    </x:xf>
    <x:xf numFmtId="0" fontId="11" fillId="43" borderId="5" xfId="0" applyNumberFormat="1" applyFont="1" applyFill="1" applyBorder="1" applyAlignment="1">
      <x:alignment vertical="center" wrapText="1"/>
    </x:xf>
    <x:xf numFmtId="0" fontId="35" fillId="43" borderId="1" xfId="0" applyNumberFormat="1" applyFont="1" applyFill="1" applyBorder="1" applyAlignment="1">
      <x:alignment vertical="center" wrapText="1"/>
    </x:xf>
    <x:xf numFmtId="0" fontId="35" fillId="43" borderId="0" xfId="0" applyNumberFormat="1" applyFont="1" applyFill="1" applyBorder="1"/>
    <x:xf numFmtId="0" fontId="35" fillId="43" borderId="4" xfId="0" applyNumberFormat="1" applyFont="1" applyFill="1" applyBorder="1" applyAlignment="1">
      <x:alignment vertical="center" wrapText="1"/>
    </x:xf>
    <x:xf numFmtId="0" fontId="35" fillId="43" borderId="5" xfId="0" applyNumberFormat="1" applyFont="1" applyFill="1" applyBorder="1" applyAlignment="1">
      <x:alignment vertical="center" wrapText="1"/>
    </x:xf>
    <x:xf numFmtId="0" fontId="35" fillId="43" borderId="1" xfId="0" applyNumberFormat="1" applyFont="1" applyFill="1" applyBorder="1"/>
    <x:xf numFmtId="0" fontId="35" fillId="43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8" fillId="9" borderId="1" xfId="0" applyNumberFormat="1" applyFont="1" applyFill="1" applyBorder="1" applyAlignment="1">
      <x:alignment horizontal="center" vertical="center" wrapText="1"/>
    </x:xf>
    <x:xf numFmtId="1" fontId="3" fillId="0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44" borderId="0" xfId="0" applyNumberFormat="1" applyFont="1" applyFill="1" applyBorder="1"/>
    <x:xf numFmtId="0" fontId="10" fillId="44" borderId="0" xfId="0" applyNumberFormat="1" applyFont="1" applyFill="1" applyBorder="1"/>
    <x:xf numFmtId="0" fontId="10" fillId="44" borderId="0" xfId="0" applyNumberFormat="1" applyFont="1" applyFill="1" applyBorder="1" applyAlignment="1">
      <x:alignment horizontal="left"/>
    </x:xf>
    <x:xf numFmtId="0" fontId="10" fillId="44" borderId="0" xfId="0" applyNumberFormat="1" applyFont="1" applyFill="1" applyBorder="1" applyAlignment="1">
      <x:alignment horizontal="left" vertical="center"/>
    </x:xf>
    <x:xf numFmtId="0" fontId="0" fillId="45" borderId="0" xfId="0" applyNumberFormat="1" applyFont="1" applyFill="1" applyBorder="1"/>
    <x:xf numFmtId="0" fontId="36" fillId="45" borderId="0" xfId="0" applyNumberFormat="1" applyFont="1" applyFill="1" applyBorder="1"/>
    <x:xf numFmtId="0" fontId="36" fillId="45" borderId="22" xfId="0" applyNumberFormat="1" applyFont="1" applyFill="1" applyBorder="1"/>
    <x:xf numFmtId="0" fontId="36" fillId="45" borderId="23" xfId="0" applyNumberFormat="1" applyFont="1" applyFill="1" applyBorder="1"/>
    <x:xf numFmtId="0" fontId="36" fillId="45" borderId="24" xfId="0" applyNumberFormat="1" applyFont="1" applyFill="1" applyBorder="1"/>
    <x:xf numFmtId="0" fontId="36" fillId="45" borderId="22" xfId="0" applyNumberFormat="1" applyFont="1" applyFill="1" applyBorder="1" applyAlignment="1">
      <x:alignment wrapText="1"/>
    </x:xf>
    <x:xf numFmtId="0" fontId="36" fillId="45" borderId="23" xfId="0" applyNumberFormat="1" applyFont="1" applyFill="1" applyBorder="1" applyAlignment="1">
      <x:alignment wrapText="1"/>
    </x:xf>
    <x:xf numFmtId="0" fontId="36" fillId="45" borderId="24" xfId="0" applyNumberFormat="1" applyFont="1" applyFill="1" applyBorder="1" applyAlignment="1">
      <x:alignment wrapText="1"/>
    </x:xf>
    <x:xf numFmtId="0" fontId="36" fillId="45" borderId="22" xfId="0" applyNumberFormat="1" applyFont="1" applyFill="1" applyBorder="1" applyAlignment="1">
      <x:alignment vertical="center" wrapText="1"/>
    </x:xf>
    <x:xf numFmtId="0" fontId="36" fillId="45" borderId="23" xfId="0" applyNumberFormat="1" applyFont="1" applyFill="1" applyBorder="1" applyAlignment="1">
      <x:alignment vertical="center" wrapText="1"/>
    </x:xf>
    <x:xf numFmtId="0" fontId="36" fillId="45" borderId="24" xfId="0" applyNumberFormat="1" applyFont="1" applyFill="1" applyBorder="1" applyAlignment="1">
      <x:alignment vertical="center" wrapText="1"/>
    </x:xf>
    <x:xf numFmtId="0" fontId="0" fillId="46" borderId="0" xfId="0" applyNumberFormat="1" applyFont="1" applyFill="1" applyBorder="1"/>
    <x:xf numFmtId="0" fontId="37" fillId="46" borderId="0" xfId="0" applyNumberFormat="1" applyFont="1" applyFill="1" applyBorder="1"/>
    <x:xf numFmtId="0" fontId="37" fillId="46" borderId="22" xfId="0" applyNumberFormat="1" applyFont="1" applyFill="1" applyBorder="1"/>
    <x:xf numFmtId="0" fontId="37" fillId="46" borderId="23" xfId="0" applyNumberFormat="1" applyFont="1" applyFill="1" applyBorder="1"/>
    <x:xf numFmtId="0" fontId="37" fillId="46" borderId="24" xfId="0" applyNumberFormat="1" applyFont="1" applyFill="1" applyBorder="1"/>
    <x:xf numFmtId="0" fontId="37" fillId="46" borderId="22" xfId="0" applyNumberFormat="1" applyFont="1" applyFill="1" applyBorder="1" applyAlignment="1">
      <x:alignment vertical="center"/>
    </x:xf>
    <x:xf numFmtId="0" fontId="37" fillId="46" borderId="23" xfId="0" applyNumberFormat="1" applyFont="1" applyFill="1" applyBorder="1" applyAlignment="1">
      <x:alignment vertical="center"/>
    </x:xf>
    <x:xf numFmtId="0" fontId="37" fillId="46" borderId="24" xfId="0" applyNumberFormat="1" applyFont="1" applyFill="1" applyBorder="1" applyAlignment="1">
      <x:alignment vertical="center"/>
    </x:xf>
    <x:xf numFmtId="0" fontId="38" fillId="46" borderId="0" xfId="0" applyNumberFormat="1" applyFont="1" applyFill="1" applyBorder="1"/>
    <x:xf numFmtId="0" fontId="38" fillId="46" borderId="1" xfId="0" applyNumberFormat="1" applyFont="1" applyFill="1" applyBorder="1"/>
    <x:xf numFmtId="0" fontId="38" fillId="46" borderId="1" xfId="0" applyNumberFormat="1" applyFont="1" applyFill="1" applyBorder="1" applyAlignment="1">
      <x:alignment wrapText="1"/>
    </x:xf>
    <x:xf numFmtId="0" fontId="38" fillId="46" borderId="1" xfId="0" applyNumberFormat="1" applyFont="1" applyFill="1" applyBorder="1" applyAlignment="1">
      <x:alignment horizontal="center" wrapText="1"/>
    </x:xf>
    <x:xf numFmtId="0" fontId="38" fillId="46" borderId="1" xfId="0" applyNumberFormat="1" applyFont="1" applyFill="1" applyBorder="1" applyAlignment="1">
      <x:alignment horizontal="center" vertical="center" wrapText="1"/>
    </x:xf>
    <x:xf numFmtId="0" fontId="39" fillId="0" borderId="0" xfId="0" applyNumberFormat="1" applyFont="1" applyFill="1" applyBorder="1"/>
    <x:xf numFmtId="0" fontId="39" fillId="0" borderId="25" xfId="0" applyNumberFormat="1" applyFont="1" applyFill="1" applyBorder="1"/>
    <x:xf numFmtId="0" fontId="39" fillId="0" borderId="25" xfId="0" applyNumberFormat="1" applyFont="1" applyFill="1" applyBorder="1" applyAlignment="1">
      <x:alignment wrapText="1"/>
    </x:xf>
    <x:xf numFmtId="0" fontId="39" fillId="0" borderId="25" xfId="0" applyNumberFormat="1" applyFont="1" applyFill="1" applyBorder="1" applyAlignment="1">
      <x:alignment vertical="center" wrapText="1"/>
    </x:xf>
    <x:xf numFmtId="0" fontId="0" fillId="47" borderId="0" xfId="0" applyNumberFormat="1" applyFont="1" applyFill="1" applyBorder="1"/>
    <x:xf numFmtId="0" fontId="38" fillId="47" borderId="0" xfId="0" applyNumberFormat="1" applyFont="1" applyFill="1" applyBorder="1"/>
    <x:xf numFmtId="0" fontId="38" fillId="47" borderId="1" xfId="0" applyNumberFormat="1" applyFont="1" applyFill="1" applyBorder="1"/>
    <x:xf numFmtId="0" fontId="38" fillId="47" borderId="1" xfId="0" applyNumberFormat="1" applyFont="1" applyFill="1" applyBorder="1" applyAlignment="1">
      <x:alignment wrapText="1"/>
    </x:xf>
    <x:xf numFmtId="0" fontId="38" fillId="47" borderId="1" xfId="0" applyNumberFormat="1" applyFont="1" applyFill="1" applyBorder="1" applyAlignment="1">
      <x:alignment horizontal="center" wrapText="1"/>
    </x:xf>
    <x:xf numFmtId="0" fontId="38" fillId="47" borderId="1" xfId="0" applyNumberFormat="1" applyFont="1" applyFill="1" applyBorder="1" applyAlignment="1">
      <x:alignment horizontal="center" vertical="center" wrapText="1"/>
    </x:xf>
    <x:xf numFmtId="0" fontId="0" fillId="48" borderId="0" xfId="0" applyNumberFormat="1" applyFont="1" applyFill="1" applyBorder="1"/>
    <x:xf numFmtId="0" fontId="40" fillId="48" borderId="0" xfId="0" applyNumberFormat="1" applyFont="1" applyFill="1" applyBorder="1"/>
    <x:xf numFmtId="0" fontId="40" fillId="48" borderId="26" xfId="0" applyNumberFormat="1" applyFont="1" applyFill="1" applyBorder="1"/>
    <x:xf numFmtId="0" fontId="40" fillId="48" borderId="27" xfId="0" applyNumberFormat="1" applyFont="1" applyFill="1" applyBorder="1"/>
    <x:xf numFmtId="0" fontId="40" fillId="48" borderId="28" xfId="0" applyNumberFormat="1" applyFont="1" applyFill="1" applyBorder="1"/>
    <x:xf numFmtId="0" fontId="40" fillId="48" borderId="29" xfId="0" applyNumberFormat="1" applyFont="1" applyFill="1" applyBorder="1"/>
    <x:xf numFmtId="0" fontId="40" fillId="48" borderId="30" xfId="0" applyNumberFormat="1" applyFont="1" applyFill="1" applyBorder="1"/>
    <x:xf numFmtId="0" fontId="40" fillId="48" borderId="31" xfId="0" applyNumberFormat="1" applyFont="1" applyFill="1" applyBorder="1"/>
    <x:xf numFmtId="0" fontId="40" fillId="48" borderId="26" xfId="0" applyNumberFormat="1" applyFont="1" applyFill="1" applyBorder="1" applyAlignment="1">
      <x:alignment wrapText="1"/>
    </x:xf>
    <x:xf numFmtId="0" fontId="40" fillId="48" borderId="27" xfId="0" applyNumberFormat="1" applyFont="1" applyFill="1" applyBorder="1" applyAlignment="1">
      <x:alignment wrapText="1"/>
    </x:xf>
    <x:xf numFmtId="0" fontId="40" fillId="48" borderId="28" xfId="0" applyNumberFormat="1" applyFont="1" applyFill="1" applyBorder="1" applyAlignment="1">
      <x:alignment wrapText="1"/>
    </x:xf>
    <x:xf numFmtId="0" fontId="40" fillId="48" borderId="29" xfId="0" applyNumberFormat="1" applyFont="1" applyFill="1" applyBorder="1" applyAlignment="1">
      <x:alignment wrapText="1"/>
    </x:xf>
    <x:xf numFmtId="0" fontId="40" fillId="48" borderId="30" xfId="0" applyNumberFormat="1" applyFont="1" applyFill="1" applyBorder="1" applyAlignment="1">
      <x:alignment wrapText="1"/>
    </x:xf>
    <x:xf numFmtId="0" fontId="40" fillId="48" borderId="31" xfId="0" applyNumberFormat="1" applyFont="1" applyFill="1" applyBorder="1" applyAlignment="1">
      <x:alignment wrapText="1"/>
    </x:xf>
    <x:xf numFmtId="0" fontId="40" fillId="48" borderId="26" xfId="0" applyNumberFormat="1" applyFont="1" applyFill="1" applyBorder="1" applyAlignment="1">
      <x:alignment vertical="center" wrapText="1"/>
    </x:xf>
    <x:xf numFmtId="0" fontId="40" fillId="48" borderId="27" xfId="0" applyNumberFormat="1" applyFont="1" applyFill="1" applyBorder="1" applyAlignment="1">
      <x:alignment vertical="center" wrapText="1"/>
    </x:xf>
    <x:xf numFmtId="0" fontId="40" fillId="48" borderId="28" xfId="0" applyNumberFormat="1" applyFont="1" applyFill="1" applyBorder="1" applyAlignment="1">
      <x:alignment vertical="center" wrapText="1"/>
    </x:xf>
    <x:xf numFmtId="0" fontId="40" fillId="48" borderId="29" xfId="0" applyNumberFormat="1" applyFont="1" applyFill="1" applyBorder="1" applyAlignment="1">
      <x:alignment vertical="center" wrapText="1"/>
    </x:xf>
    <x:xf numFmtId="0" fontId="40" fillId="48" borderId="30" xfId="0" applyNumberFormat="1" applyFont="1" applyFill="1" applyBorder="1" applyAlignment="1">
      <x:alignment vertical="center" wrapText="1"/>
    </x:xf>
    <x:xf numFmtId="0" fontId="40" fillId="48" borderId="31" xfId="0" applyNumberFormat="1" applyFont="1" applyFill="1" applyBorder="1" applyAlignment="1">
      <x:alignment vertical="center" wrapText="1"/>
    </x:xf>
    <x:xf numFmtId="0" fontId="0" fillId="49" borderId="0" xfId="0" applyNumberFormat="1" applyFont="1" applyFill="1" applyBorder="1"/>
    <x:xf numFmtId="0" fontId="41" fillId="49" borderId="0" xfId="0" applyNumberFormat="1" applyFont="1" applyFill="1" applyBorder="1"/>
    <x:xf numFmtId="0" fontId="41" fillId="49" borderId="32" xfId="0" applyNumberFormat="1" applyFont="1" applyFill="1" applyBorder="1"/>
    <x:xf numFmtId="0" fontId="41" fillId="49" borderId="33" xfId="0" applyNumberFormat="1" applyFont="1" applyFill="1" applyBorder="1"/>
    <x:xf numFmtId="0" fontId="41" fillId="49" borderId="34" xfId="0" applyNumberFormat="1" applyFont="1" applyFill="1" applyBorder="1"/>
    <x:xf numFmtId="0" fontId="41" fillId="49" borderId="35" xfId="0" applyNumberFormat="1" applyFont="1" applyFill="1" applyBorder="1"/>
    <x:xf numFmtId="0" fontId="41" fillId="49" borderId="36" xfId="0" applyNumberFormat="1" applyFont="1" applyFill="1" applyBorder="1"/>
    <x:xf numFmtId="0" fontId="41" fillId="49" borderId="37" xfId="0" applyNumberFormat="1" applyFont="1" applyFill="1" applyBorder="1"/>
    <x:xf numFmtId="0" fontId="41" fillId="49" borderId="38" xfId="0" applyNumberFormat="1" applyFont="1" applyFill="1" applyBorder="1"/>
    <x:xf numFmtId="0" fontId="41" fillId="49" borderId="39" xfId="0" applyNumberFormat="1" applyFont="1" applyFill="1" applyBorder="1"/>
    <x:xf numFmtId="0" fontId="41" fillId="49" borderId="32" xfId="0" applyNumberFormat="1" applyFont="1" applyFill="1" applyBorder="1" applyAlignment="1">
      <x:alignment wrapText="1"/>
    </x:xf>
    <x:xf numFmtId="0" fontId="41" fillId="49" borderId="33" xfId="0" applyNumberFormat="1" applyFont="1" applyFill="1" applyBorder="1" applyAlignment="1">
      <x:alignment wrapText="1"/>
    </x:xf>
    <x:xf numFmtId="0" fontId="41" fillId="49" borderId="34" xfId="0" applyNumberFormat="1" applyFont="1" applyFill="1" applyBorder="1" applyAlignment="1">
      <x:alignment wrapText="1"/>
    </x:xf>
    <x:xf numFmtId="0" fontId="41" fillId="49" borderId="35" xfId="0" applyNumberFormat="1" applyFont="1" applyFill="1" applyBorder="1" applyAlignment="1">
      <x:alignment wrapText="1"/>
    </x:xf>
    <x:xf numFmtId="0" fontId="41" fillId="49" borderId="0" xfId="0" applyNumberFormat="1" applyFont="1" applyFill="1" applyBorder="1" applyAlignment="1">
      <x:alignment wrapText="1"/>
    </x:xf>
    <x:xf numFmtId="0" fontId="41" fillId="49" borderId="36" xfId="0" applyNumberFormat="1" applyFont="1" applyFill="1" applyBorder="1" applyAlignment="1">
      <x:alignment wrapText="1"/>
    </x:xf>
    <x:xf numFmtId="0" fontId="41" fillId="49" borderId="37" xfId="0" applyNumberFormat="1" applyFont="1" applyFill="1" applyBorder="1" applyAlignment="1">
      <x:alignment wrapText="1"/>
    </x:xf>
    <x:xf numFmtId="0" fontId="41" fillId="49" borderId="38" xfId="0" applyNumberFormat="1" applyFont="1" applyFill="1" applyBorder="1" applyAlignment="1">
      <x:alignment wrapText="1"/>
    </x:xf>
    <x:xf numFmtId="0" fontId="41" fillId="49" borderId="39" xfId="0" applyNumberFormat="1" applyFont="1" applyFill="1" applyBorder="1" applyAlignment="1">
      <x:alignment wrapText="1"/>
    </x:xf>
    <x:xf numFmtId="0" fontId="41" fillId="49" borderId="32" xfId="0" applyNumberFormat="1" applyFont="1" applyFill="1" applyBorder="1" applyAlignment="1">
      <x:alignment vertical="center" wrapText="1"/>
    </x:xf>
    <x:xf numFmtId="0" fontId="41" fillId="49" borderId="33" xfId="0" applyNumberFormat="1" applyFont="1" applyFill="1" applyBorder="1" applyAlignment="1">
      <x:alignment vertical="center" wrapText="1"/>
    </x:xf>
    <x:xf numFmtId="0" fontId="41" fillId="49" borderId="34" xfId="0" applyNumberFormat="1" applyFont="1" applyFill="1" applyBorder="1" applyAlignment="1">
      <x:alignment vertical="center" wrapText="1"/>
    </x:xf>
    <x:xf numFmtId="0" fontId="41" fillId="49" borderId="35" xfId="0" applyNumberFormat="1" applyFont="1" applyFill="1" applyBorder="1" applyAlignment="1">
      <x:alignment vertical="center" wrapText="1"/>
    </x:xf>
    <x:xf numFmtId="0" fontId="41" fillId="49" borderId="0" xfId="0" applyNumberFormat="1" applyFont="1" applyFill="1" applyBorder="1" applyAlignment="1">
      <x:alignment vertical="center" wrapText="1"/>
    </x:xf>
    <x:xf numFmtId="0" fontId="41" fillId="49" borderId="36" xfId="0" applyNumberFormat="1" applyFont="1" applyFill="1" applyBorder="1" applyAlignment="1">
      <x:alignment vertical="center" wrapText="1"/>
    </x:xf>
    <x:xf numFmtId="0" fontId="41" fillId="49" borderId="37" xfId="0" applyNumberFormat="1" applyFont="1" applyFill="1" applyBorder="1" applyAlignment="1">
      <x:alignment vertical="center" wrapText="1"/>
    </x:xf>
    <x:xf numFmtId="0" fontId="41" fillId="49" borderId="38" xfId="0" applyNumberFormat="1" applyFont="1" applyFill="1" applyBorder="1" applyAlignment="1">
      <x:alignment vertical="center" wrapText="1"/>
    </x:xf>
    <x:xf numFmtId="0" fontId="41" fillId="49" borderId="39" xfId="0" applyNumberFormat="1" applyFont="1" applyFill="1" applyBorder="1" applyAlignment="1">
      <x:alignment vertical="center" wrapText="1"/>
    </x:xf>
    <x:xf numFmtId="0" fontId="42" fillId="45" borderId="0" xfId="0" applyNumberFormat="1" applyFont="1" applyFill="1" applyBorder="1"/>
    <x:xf numFmtId="0" fontId="42" fillId="45" borderId="26" xfId="0" applyNumberFormat="1" applyFont="1" applyFill="1" applyBorder="1"/>
    <x:xf numFmtId="0" fontId="42" fillId="45" borderId="27" xfId="0" applyNumberFormat="1" applyFont="1" applyFill="1" applyBorder="1"/>
    <x:xf numFmtId="0" fontId="42" fillId="45" borderId="28" xfId="0" applyNumberFormat="1" applyFont="1" applyFill="1" applyBorder="1"/>
    <x:xf numFmtId="0" fontId="42" fillId="45" borderId="40" xfId="0" applyNumberFormat="1" applyFont="1" applyFill="1" applyBorder="1"/>
    <x:xf numFmtId="0" fontId="42" fillId="45" borderId="41" xfId="0" applyNumberFormat="1" applyFont="1" applyFill="1" applyBorder="1"/>
    <x:xf numFmtId="0" fontId="42" fillId="45" borderId="29" xfId="0" applyNumberFormat="1" applyFont="1" applyFill="1" applyBorder="1"/>
    <x:xf numFmtId="0" fontId="42" fillId="45" borderId="30" xfId="0" applyNumberFormat="1" applyFont="1" applyFill="1" applyBorder="1"/>
    <x:xf numFmtId="0" fontId="42" fillId="45" borderId="31" xfId="0" applyNumberFormat="1" applyFont="1" applyFill="1" applyBorder="1"/>
    <x:xf numFmtId="0" fontId="42" fillId="45" borderId="26" xfId="0" applyNumberFormat="1" applyFont="1" applyFill="1" applyBorder="1" applyAlignment="1">
      <x:alignment wrapText="1"/>
    </x:xf>
    <x:xf numFmtId="0" fontId="42" fillId="45" borderId="27" xfId="0" applyNumberFormat="1" applyFont="1" applyFill="1" applyBorder="1" applyAlignment="1">
      <x:alignment wrapText="1"/>
    </x:xf>
    <x:xf numFmtId="0" fontId="42" fillId="45" borderId="28" xfId="0" applyNumberFormat="1" applyFont="1" applyFill="1" applyBorder="1" applyAlignment="1">
      <x:alignment wrapText="1"/>
    </x:xf>
    <x:xf numFmtId="0" fontId="42" fillId="45" borderId="40" xfId="0" applyNumberFormat="1" applyFont="1" applyFill="1" applyBorder="1" applyAlignment="1">
      <x:alignment wrapText="1"/>
    </x:xf>
    <x:xf numFmtId="0" fontId="42" fillId="45" borderId="0" xfId="0" applyNumberFormat="1" applyFont="1" applyFill="1" applyBorder="1" applyAlignment="1">
      <x:alignment wrapText="1"/>
    </x:xf>
    <x:xf numFmtId="0" fontId="42" fillId="45" borderId="41" xfId="0" applyNumberFormat="1" applyFont="1" applyFill="1" applyBorder="1" applyAlignment="1">
      <x:alignment wrapText="1"/>
    </x:xf>
    <x:xf numFmtId="0" fontId="42" fillId="45" borderId="29" xfId="0" applyNumberFormat="1" applyFont="1" applyFill="1" applyBorder="1" applyAlignment="1">
      <x:alignment wrapText="1"/>
    </x:xf>
    <x:xf numFmtId="0" fontId="42" fillId="45" borderId="30" xfId="0" applyNumberFormat="1" applyFont="1" applyFill="1" applyBorder="1" applyAlignment="1">
      <x:alignment wrapText="1"/>
    </x:xf>
    <x:xf numFmtId="0" fontId="42" fillId="45" borderId="31" xfId="0" applyNumberFormat="1" applyFont="1" applyFill="1" applyBorder="1" applyAlignment="1">
      <x:alignment wrapText="1"/>
    </x:xf>
    <x:xf numFmtId="0" fontId="42" fillId="45" borderId="26" xfId="0" applyNumberFormat="1" applyFont="1" applyFill="1" applyBorder="1" applyAlignment="1">
      <x:alignment vertical="top" wrapText="1"/>
    </x:xf>
    <x:xf numFmtId="0" fontId="42" fillId="45" borderId="27" xfId="0" applyNumberFormat="1" applyFont="1" applyFill="1" applyBorder="1" applyAlignment="1">
      <x:alignment vertical="top" wrapText="1"/>
    </x:xf>
    <x:xf numFmtId="0" fontId="42" fillId="45" borderId="28" xfId="0" applyNumberFormat="1" applyFont="1" applyFill="1" applyBorder="1" applyAlignment="1">
      <x:alignment vertical="top" wrapText="1"/>
    </x:xf>
    <x:xf numFmtId="0" fontId="42" fillId="45" borderId="40" xfId="0" applyNumberFormat="1" applyFont="1" applyFill="1" applyBorder="1" applyAlignment="1">
      <x:alignment vertical="top" wrapText="1"/>
    </x:xf>
    <x:xf numFmtId="0" fontId="42" fillId="45" borderId="0" xfId="0" applyNumberFormat="1" applyFont="1" applyFill="1" applyBorder="1" applyAlignment="1">
      <x:alignment vertical="top" wrapText="1"/>
    </x:xf>
    <x:xf numFmtId="0" fontId="42" fillId="45" borderId="41" xfId="0" applyNumberFormat="1" applyFont="1" applyFill="1" applyBorder="1" applyAlignment="1">
      <x:alignment vertical="top" wrapText="1"/>
    </x:xf>
    <x:xf numFmtId="0" fontId="42" fillId="45" borderId="29" xfId="0" applyNumberFormat="1" applyFont="1" applyFill="1" applyBorder="1" applyAlignment="1">
      <x:alignment vertical="top" wrapText="1"/>
    </x:xf>
    <x:xf numFmtId="0" fontId="42" fillId="45" borderId="30" xfId="0" applyNumberFormat="1" applyFont="1" applyFill="1" applyBorder="1" applyAlignment="1">
      <x:alignment vertical="top" wrapText="1"/>
    </x:xf>
    <x:xf numFmtId="0" fontId="42" fillId="45" borderId="31" xfId="0" applyNumberFormat="1" applyFont="1" applyFill="1" applyBorder="1" applyAlignment="1">
      <x:alignment vertical="top" wrapText="1"/>
    </x:xf>
    <x:xf numFmtId="0" fontId="0" fillId="50" borderId="0" xfId="0" applyNumberFormat="1" applyFont="1" applyFill="1" applyBorder="1"/>
    <x:xf numFmtId="0" fontId="43" fillId="50" borderId="0" xfId="0" applyNumberFormat="1" applyFont="1" applyFill="1" applyBorder="1"/>
    <x:xf numFmtId="0" fontId="43" fillId="50" borderId="42" xfId="0" applyNumberFormat="1" applyFont="1" applyFill="1" applyBorder="1"/>
    <x:xf numFmtId="0" fontId="43" fillId="50" borderId="43" xfId="0" applyNumberFormat="1" applyFont="1" applyFill="1" applyBorder="1"/>
    <x:xf numFmtId="0" fontId="43" fillId="50" borderId="44" xfId="0" applyNumberFormat="1" applyFont="1" applyFill="1" applyBorder="1"/>
    <x:xf numFmtId="0" fontId="43" fillId="50" borderId="45" xfId="0" applyNumberFormat="1" applyFont="1" applyFill="1" applyBorder="1"/>
    <x:xf numFmtId="0" fontId="43" fillId="50" borderId="46" xfId="0" applyNumberFormat="1" applyFont="1" applyFill="1" applyBorder="1"/>
    <x:xf numFmtId="0" fontId="43" fillId="50" borderId="47" xfId="0" applyNumberFormat="1" applyFont="1" applyFill="1" applyBorder="1"/>
    <x:xf numFmtId="0" fontId="43" fillId="50" borderId="48" xfId="0" applyNumberFormat="1" applyFont="1" applyFill="1" applyBorder="1"/>
    <x:xf numFmtId="0" fontId="43" fillId="50" borderId="49" xfId="0" applyNumberFormat="1" applyFont="1" applyFill="1" applyBorder="1"/>
    <x:xf numFmtId="0" fontId="43" fillId="50" borderId="42" xfId="0" applyNumberFormat="1" applyFont="1" applyFill="1" applyBorder="1" applyAlignment="1">
      <x:alignment wrapText="1"/>
    </x:xf>
    <x:xf numFmtId="0" fontId="43" fillId="50" borderId="43" xfId="0" applyNumberFormat="1" applyFont="1" applyFill="1" applyBorder="1" applyAlignment="1">
      <x:alignment wrapText="1"/>
    </x:xf>
    <x:xf numFmtId="0" fontId="43" fillId="50" borderId="44" xfId="0" applyNumberFormat="1" applyFont="1" applyFill="1" applyBorder="1" applyAlignment="1">
      <x:alignment wrapText="1"/>
    </x:xf>
    <x:xf numFmtId="0" fontId="43" fillId="50" borderId="45" xfId="0" applyNumberFormat="1" applyFont="1" applyFill="1" applyBorder="1" applyAlignment="1">
      <x:alignment wrapText="1"/>
    </x:xf>
    <x:xf numFmtId="0" fontId="43" fillId="50" borderId="0" xfId="0" applyNumberFormat="1" applyFont="1" applyFill="1" applyBorder="1" applyAlignment="1">
      <x:alignment wrapText="1"/>
    </x:xf>
    <x:xf numFmtId="0" fontId="43" fillId="50" borderId="46" xfId="0" applyNumberFormat="1" applyFont="1" applyFill="1" applyBorder="1" applyAlignment="1">
      <x:alignment wrapText="1"/>
    </x:xf>
    <x:xf numFmtId="0" fontId="43" fillId="50" borderId="47" xfId="0" applyNumberFormat="1" applyFont="1" applyFill="1" applyBorder="1" applyAlignment="1">
      <x:alignment wrapText="1"/>
    </x:xf>
    <x:xf numFmtId="0" fontId="43" fillId="50" borderId="48" xfId="0" applyNumberFormat="1" applyFont="1" applyFill="1" applyBorder="1" applyAlignment="1">
      <x:alignment wrapText="1"/>
    </x:xf>
    <x:xf numFmtId="0" fontId="43" fillId="50" borderId="49" xfId="0" applyNumberFormat="1" applyFont="1" applyFill="1" applyBorder="1" applyAlignment="1">
      <x:alignment wrapText="1"/>
    </x:xf>
    <x:xf numFmtId="0" fontId="43" fillId="50" borderId="42" xfId="0" applyNumberFormat="1" applyFont="1" applyFill="1" applyBorder="1" applyAlignment="1">
      <x:alignment vertical="center" wrapText="1"/>
    </x:xf>
    <x:xf numFmtId="0" fontId="43" fillId="50" borderId="43" xfId="0" applyNumberFormat="1" applyFont="1" applyFill="1" applyBorder="1" applyAlignment="1">
      <x:alignment vertical="center" wrapText="1"/>
    </x:xf>
    <x:xf numFmtId="0" fontId="43" fillId="50" borderId="44" xfId="0" applyNumberFormat="1" applyFont="1" applyFill="1" applyBorder="1" applyAlignment="1">
      <x:alignment vertical="center" wrapText="1"/>
    </x:xf>
    <x:xf numFmtId="0" fontId="43" fillId="50" borderId="45" xfId="0" applyNumberFormat="1" applyFont="1" applyFill="1" applyBorder="1" applyAlignment="1">
      <x:alignment vertical="center" wrapText="1"/>
    </x:xf>
    <x:xf numFmtId="0" fontId="43" fillId="50" borderId="0" xfId="0" applyNumberFormat="1" applyFont="1" applyFill="1" applyBorder="1" applyAlignment="1">
      <x:alignment vertical="center" wrapText="1"/>
    </x:xf>
    <x:xf numFmtId="0" fontId="43" fillId="50" borderId="46" xfId="0" applyNumberFormat="1" applyFont="1" applyFill="1" applyBorder="1" applyAlignment="1">
      <x:alignment vertical="center" wrapText="1"/>
    </x:xf>
    <x:xf numFmtId="0" fontId="43" fillId="50" borderId="47" xfId="0" applyNumberFormat="1" applyFont="1" applyFill="1" applyBorder="1" applyAlignment="1">
      <x:alignment vertical="center" wrapText="1"/>
    </x:xf>
    <x:xf numFmtId="0" fontId="43" fillId="50" borderId="48" xfId="0" applyNumberFormat="1" applyFont="1" applyFill="1" applyBorder="1" applyAlignment="1">
      <x:alignment vertical="center" wrapText="1"/>
    </x:xf>
    <x:xf numFmtId="0" fontId="43" fillId="50" borderId="49" xfId="0" applyNumberFormat="1" applyFont="1" applyFill="1" applyBorder="1" applyAlignment="1">
      <x:alignment vertical="center" wrapText="1"/>
    </x:xf>
  </x:cellXfs>
  <x:cellStyles count="49">
    <x:cellStyle name="20% - 强调文字颜色 1" xfId="26"/>
    <x:cellStyle name="20% - 强调文字颜色 2" xfId="30"/>
    <x:cellStyle name="20% - 强调文字颜色 3" xfId="34"/>
    <x:cellStyle name="20% - 强调文字颜色 4" xfId="38"/>
    <x:cellStyle name="20% - 强调文字颜色 5" xfId="42"/>
    <x:cellStyle name="20% - 强调文字颜色 6" xfId="46"/>
    <x:cellStyle name="40% - 强调文字颜色 1" xfId="27"/>
    <x:cellStyle name="40% - 强调文字颜色 2" xfId="31"/>
    <x:cellStyle name="40% - 强调文字颜色 3" xfId="35"/>
    <x:cellStyle name="40% - 强调文字颜色 4" xfId="39"/>
    <x:cellStyle name="40% - 强调文字颜色 5" xfId="43"/>
    <x:cellStyle name="40% - 强调文字颜色 6" xfId="47"/>
    <x:cellStyle name="60% - 强调文字颜色 1" xfId="28"/>
    <x:cellStyle name="60% - 强调文字颜色 2" xfId="32"/>
    <x:cellStyle name="60% - 强调文字颜色 3" xfId="36"/>
    <x:cellStyle name="60% - 强调文字颜色 4" xfId="40"/>
    <x:cellStyle name="60% - 强调文字颜色 5" xfId="44"/>
    <x:cellStyle name="60% - 强调文字颜色 6" xfId="48"/>
    <x:cellStyle name="百分比" xfId="3"/>
    <x:cellStyle name="标题" xfId="10"/>
    <x:cellStyle name="标题 1" xfId="12"/>
    <x:cellStyle name="标题 2" xfId="13"/>
    <x:cellStyle name="标题 3" xfId="14"/>
    <x:cellStyle name="标题 4" xfId="15"/>
    <x:cellStyle name="差" xfId="23"/>
    <x:cellStyle name="常规" xfId="0"/>
    <x:cellStyle name="超链接" xfId="6"/>
    <x:cellStyle name="好" xfId="22"/>
    <x:cellStyle name="汇总" xfId="21"/>
    <x:cellStyle name="货币" xfId="2"/>
    <x:cellStyle name="货币[0]" xfId="5"/>
    <x:cellStyle name="计算" xfId="18"/>
    <x:cellStyle name="检查单元格" xfId="19"/>
    <x:cellStyle name="解释性文本" xfId="11"/>
    <x:cellStyle name="警告文本" xfId="9"/>
    <x:cellStyle name="链接单元格" xfId="20"/>
    <x:cellStyle name="千位分隔" xfId="1"/>
    <x:cellStyle name="千位分隔[0]" xfId="4"/>
    <x:cellStyle name="强调文字颜色 1" xfId="25"/>
    <x:cellStyle name="强调文字颜色 2" xfId="29"/>
    <x:cellStyle name="强调文字颜色 3" xfId="33"/>
    <x:cellStyle name="强调文字颜色 4" xfId="37"/>
    <x:cellStyle name="强调文字颜色 5" xfId="41"/>
    <x:cellStyle name="强调文字颜色 6" xfId="45"/>
    <x:cellStyle name="适中" xfId="24"/>
    <x:cellStyle name="输出" xfId="17"/>
    <x:cellStyle name="输入" xfId="16"/>
    <x:cellStyle name="已访问的超链接" xfId="7"/>
    <x:cellStyle name="注释" xfId="8"/>
  </x:cellStyles>
  <x:dxfs count="14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FF4CC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F4E78"/>
      </x:font>
      <x:fill>
        <x:patternFill patternType="solid">
          <x:bgColor rgb="FFEEF4FA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1B5E20"/>
      </x:font>
      <x:fill>
        <x:patternFill patternType="solid">
          <x:bgColor rgb="FFE2F0D9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1F4E78"/>
      </x:font>
      <x:fill>
        <x:patternFill patternType="solid">
          <x:bgColor rgb="FFEEF4F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d56c0eea0d45ca" /><Relationship Type="http://schemas.openxmlformats.org/officeDocument/2006/relationships/theme" Target="/xl/theme/theme1.xml" Id="R6a49b8f10c814d0a" /><Relationship Type="http://schemas.openxmlformats.org/officeDocument/2006/relationships/sharedStrings" Target="/xl/sharedStrings.xml" Id="R6dea351271044ce6" /><Relationship Type="http://schemas.openxmlformats.org/officeDocument/2006/relationships/worksheet" Target="/xl/worksheets/sheet1.xml" Id="Rd763ddaaa62242bc" /><Relationship Type="http://schemas.openxmlformats.org/officeDocument/2006/relationships/worksheet" Target="/xl/worksheets/sheet2.xml" Id="R688a1c303c3f4a82" /><Relationship Type="http://schemas.openxmlformats.org/officeDocument/2006/relationships/worksheet" Target="/xl/worksheets/sheet3.xml" Id="Ra2999bc9fe6a4785" /><Relationship Type="http://schemas.openxmlformats.org/officeDocument/2006/relationships/worksheet" Target="/xl/worksheets/sheet4.xml" Id="R4df8b54879cc4ef4" /><Relationship Type="http://schemas.openxmlformats.org/officeDocument/2006/relationships/worksheet" Target="/xl/worksheets/sheet5.xml" Id="R9187d05b5b534634" /><Relationship Type="http://schemas.openxmlformats.org/officeDocument/2006/relationships/worksheet" Target="/xl/worksheets/sheet6.xml" Id="Rc647460c1db64792" /><Relationship Type="http://schemas.microsoft.com/office/2017/10/relationships/person" Target="/xl/persons/person.xml" Id="R08d884d4d75c4d6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5fe6c6ab1a843d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Sprint 2 计划 / 实际剩余工时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计划剩余</c:v>
          </c:tx>
          <c:marker>
            <c:symbol val="none"/>
          </c:marker>
          <c:cat>
            <c:strRef>
              <c:f>'燃尽图'!$A$22:$A$25</c:f>
              <c:strCache>
                <c:ptCount val="0"/>
              </c:strCache>
            </c:strRef>
          </c:cat>
          <c:val>
            <c:numRef>
              <c:f>'燃尽图'!$B$22:$B$25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实际剩余</c:v>
          </c:tx>
          <c:marker>
            <c:symbol val="none"/>
          </c:marker>
          <c:cat>
            <c:strRef>
              <c:f>'燃尽图'!$A$22:$A$25</c:f>
              <c:strCache>
                <c:ptCount val="0"/>
              </c:strCache>
            </c:strRef>
          </c:cat>
          <c:val>
            <c:numRef>
              <c:f>'燃尽图'!$C$22:$C$25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5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5fe6c6ab1a843d1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作者" id="{D0CF6DBD-0572-B7D5-0EF1-C03B56F0193B}"/>
</xltc:personList>
</file>

<file path=xl/tables/table1.xml><?xml version="1.0" encoding="utf-8"?>
<x:table xmlns:x="http://schemas.openxmlformats.org/spreadsheetml/2006/main" id="1" name="LLMArchitectureMapping" displayName="LLMArchitectureMapping" ref="A5:D14" headerRowCount="1" totalsRowCount="0" totalsRowShown="0">
  <x:autoFilter ref="A5:D14"/>
  <x:tableColumns count="4">
    <x:tableColumn id="1" name="契约/边界"/>
    <x:tableColumn id="2" name="现有复用位置"/>
    <x:tableColumn id="3" name="当前状态/缺口"/>
    <x:tableColumn id="4" name="推荐职责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LMModuleChanges" displayName="LLMModuleChanges" ref="A27:C39" headerRowCount="1" totalsRowCount="0" totalsRowShown="0">
  <x:autoFilter ref="A27:C39"/>
  <x:tableColumns count="3">
    <x:tableColumn id="1" name="类型"/>
    <x:tableColumn id="2" name="模块/接口"/>
    <x:tableColumn id="3" name="改动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LMDegradationMatrix" displayName="LLMDegradationMatrix" ref="A42:B50" headerRowCount="1" totalsRowCount="0" totalsRowShown="0">
  <x:autoFilter ref="A42:B50"/>
  <x:tableColumns count="2">
    <x:tableColumn id="1" name="故障"/>
    <x:tableColumn id="2" name="用户与系统行为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LMImplementationOrder" displayName="LLMImplementationOrder" ref="A61:C69" headerRowCount="1" totalsRowCount="0" totalsRowShown="0">
  <x:autoFilter ref="A61:C69"/>
  <x:tableColumns count="3">
    <x:tableColumn id="1" name="顺序"/>
    <x:tableColumn id="2" name="实施项"/>
    <x:tableColumn id="3" name="关联 Task/门禁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LLMJsonContract" displayName="LLMJsonContract" ref="A4:H33" headerRowCount="1" totalsRowCount="0" totalsRowShown="0">
  <x:autoFilter ref="A4:H33"/>
  <x:tableColumns count="8">
    <x:tableColumn id="1" name="契约"/>
    <x:tableColumn id="2" name="方向"/>
    <x:tableColumn id="3" name="JSON Path"/>
    <x:tableColumn id="4" name="类型"/>
    <x:tableColumn id="5" name="必填"/>
    <x:tableColumn id="6" name="约束/枚举"/>
    <x:tableColumn id="7" name="含义"/>
    <x:tableColumn id="8" name="程序守卫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88f60aef967c4d7f" /><Relationship Type="http://schemas.openxmlformats.org/officeDocument/2006/relationships/vmlDrawing" Target="/xl/drawings/vmldrawing.vml" Id="R12fff8a0d86947e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b72e7dabf15a4fa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.xml" Id="Rb4b0bb05bafc4194" /><Relationship Type="http://schemas.openxmlformats.org/officeDocument/2006/relationships/table" Target="/xl/tables/table2.xml" Id="R91378ae05b174317" /><Relationship Type="http://schemas.openxmlformats.org/officeDocument/2006/relationships/table" Target="/xl/tables/table3.xml" Id="R42efe38ffa6e4c85" /><Relationship Type="http://schemas.openxmlformats.org/officeDocument/2006/relationships/table" Target="/xl/tables/table4.xml" Id="R8555bdc0be414d8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7c70212e4074222" /></Relationships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ColWidth="9" defaultRowHeight="14.25"/>
  <x:cols>
    <x:col min="1" max="8" width="18" style="25" customWidth="1"/>
    <x:col min="9" max="16384" width="9" style="25" customWidth="0"/>
  </x:cols>
  <x:sheetData>
    <x:row r="1" ht="30" customHeight="1">
      <x:c r="A1" s="27" t="str">
        <x:v>行知旅伴 V2.3 · Sprint 2 待办列表（LLM 混合架构修订版）</x:v>
      </x:c>
      <x:c r="B1" s="27" t="s">
        <x:v>0</x:v>
      </x:c>
      <x:c r="C1" s="27" t="s">
        <x:v>0</x:v>
      </x:c>
      <x:c r="D1" s="27" t="s">
        <x:v>0</x:v>
      </x:c>
      <x:c r="E1" s="27" t="s">
        <x:v>0</x:v>
      </x:c>
      <x:c r="F1" s="27" t="s">
        <x:v>0</x:v>
      </x:c>
      <x:c r="G1" s="27" t="s">
        <x:v>0</x:v>
      </x:c>
      <x:c r="H1" s="27" t="s">
        <x:v>0</x:v>
      </x:c>
    </x:row>
    <x:row r="3" ht="30" customHeight="1">
      <x:c r="A3" s="26" t="s">
        <x:v>1</x:v>
      </x:c>
      <x:c r="B3" s="28" t="s">
        <x:v>2</x:v>
      </x:c>
      <x:c r="C3" s="28"/>
      <x:c r="D3" s="28"/>
      <x:c r="E3" s="28"/>
      <x:c r="F3" s="28"/>
      <x:c r="G3" s="28"/>
      <x:c r="H3" s="28"/>
    </x:row>
    <x:row r="4" ht="30" customHeight="1">
      <x:c r="A4" s="26" t="s">
        <x:v>3</x:v>
      </x:c>
      <x:c r="B4" s="28" t="s">
        <x:v>4</x:v>
      </x:c>
      <x:c r="C4" s="28"/>
      <x:c r="D4" s="28"/>
      <x:c r="E4" s="28"/>
      <x:c r="F4" s="28"/>
      <x:c r="G4" s="28"/>
      <x:c r="H4" s="28"/>
    </x:row>
    <x:row r="5" ht="30" customHeight="1">
      <x:c r="A5" s="26" t="s">
        <x:v>5</x:v>
      </x:c>
      <x:c r="B5" s="28" t="s">
        <x:v>6</x:v>
      </x:c>
      <x:c r="C5" s="28"/>
      <x:c r="D5" s="28"/>
      <x:c r="E5" s="28"/>
      <x:c r="F5" s="28"/>
      <x:c r="G5" s="28"/>
      <x:c r="H5" s="28"/>
    </x:row>
    <x:row r="6" ht="38" customHeight="1">
      <x:c r="A6" s="61" t="str">
        <x:v>Sprint Goal</x:v>
      </x:c>
      <x:c r="B6" s="67" t="str">
        <x:v>用对话式 LLM 理解需求并辅助选择真实候选，同时由确定性程序守住确认、约束、公平排序、费用和版本状态，完成可在 90 秒进入唯一方案的 2—3 人执行闭环。</x:v>
      </x:c>
      <x:c r="C6" s="67"/>
      <x:c r="D6" s="67"/>
      <x:c r="E6" s="67"/>
      <x:c r="F6" s="67"/>
      <x:c r="G6" s="67"/>
      <x:c r="H6" s="67"/>
    </x:row>
    <x:row r="7" ht="38" customHeight="1">
      <x:c r="A7" s="61" t="str">
        <x:v>开发容量</x:v>
      </x:c>
      <x:c r="B7" s="67" t="str">
        <x:v>48 人时：四人各 12h；Day1 6h + Day2 6h；Day3 常规开发 0h，只联调、验收、Review、彩排与关键缺陷修复。</x:v>
      </x:c>
      <x:c r="C7" s="67"/>
      <x:c r="D7" s="67"/>
      <x:c r="E7" s="67"/>
      <x:c r="F7" s="67"/>
      <x:c r="G7" s="67"/>
      <x:c r="H7" s="67"/>
    </x:row>
    <x:row r="8" ht="38" customHeight="1">
      <x:c r="A8" s="61" t="str">
        <x:v>任务交换</x:v>
      </x:c>
      <x:c r="B8" s="67" t="str">
        <x:v>按“王敬博做前端、张琪写接口”落地：T009 执行人改张琪、T018 执行人改王敬博；T010/T017 保持原职责。PBI 业务主责不变；二人仍各 6 Task/12h。</x:v>
      </x:c>
      <x:c r="C8" s="67"/>
      <x:c r="D8" s="67"/>
      <x:c r="E8" s="67"/>
      <x:c r="F8" s="67"/>
      <x:c r="G8" s="67"/>
      <x:c r="H8" s="67"/>
    </x:row>
    <x:row r="9" ht="38" customHeight="1">
      <x:c r="A9" s="61" t="str">
        <x:v>混合边界</x:v>
      </x:c>
      <x:c r="B9" s="67" t="str">
        <x:v>LLM 负责理解、提问、白名单候选提议与解释；程序负责 Schema、确认、Provider 事实、Constraint、费用、HARD PASS、公平排序、PlanVersion/Diff 与唯一 CURRENT。</x:v>
      </x:c>
      <x:c r="C9" s="67"/>
      <x:c r="D9" s="67"/>
      <x:c r="E9" s="67"/>
      <x:c r="F9" s="67"/>
      <x:c r="G9" s="67"/>
      <x:c r="H9" s="67"/>
    </x:row>
    <x:row r="10" ht="42" customHeight="1">
      <x:c r="A10" s="61" t="str">
        <x:v>范围控制</x:v>
      </x:c>
      <x:c r="B10" s="67" t="str">
        <x:v>只做两次 90 秒主流程 LLM 调用；关怀用预设/表单；不做双方案、美团 Skill、成员独立加入、持续 GPS、视频、AI 识图、实时聊天或协同编辑。</x:v>
      </x:c>
      <x:c r="C10" s="67"/>
      <x:c r="D10" s="67"/>
      <x:c r="E10" s="67"/>
      <x:c r="F10" s="67"/>
      <x:c r="G10" s="67"/>
      <x:c r="H10" s="67"/>
    </x:row>
    <x:row r="11" ht="28" customHeight="1">
      <x:c r="A11" s="61" t="str">
        <x:v>修订日期</x:v>
      </x:c>
      <x:c r="B11" s="67" t="str">
        <x:v>2026-08-26</x:v>
      </x:c>
      <x:c r="C11" s="67"/>
      <x:c r="D11" s="67"/>
      <x:c r="E11" s="67"/>
      <x:c r="F11" s="67"/>
      <x:c r="G11" s="67"/>
      <x:c r="H11" s="67"/>
    </x:row>
    <x:row r="12" ht="32.099998474121094" customHeight="1">
      <x:c r="A12" s="34"/>
      <x:c r="B12" s="35"/>
      <x:c r="C12" s="35"/>
      <x:c r="D12" s="35"/>
      <x:c r="E12" s="35"/>
      <x:c r="F12" s="35"/>
      <x:c r="G12" s="35"/>
      <x:c r="H12" s="36"/>
    </x:row>
    <x:row r="13" ht="32.099998474121094" customHeight="1">
      <x:c r="A13" s="37"/>
      <x:c r="B13" s="38"/>
      <x:c r="C13" s="38"/>
      <x:c r="D13" s="38"/>
      <x:c r="E13" s="38"/>
      <x:c r="F13" s="38"/>
      <x:c r="G13" s="38"/>
      <x:c r="H13" s="39"/>
    </x:row>
    <x:row r="15" ht="16.5">
      <x:c r="A15" s="29" t="s">
        <x:v>7</x:v>
      </x:c>
      <x:c r="B15" s="29" t="s">
        <x:v>7</x:v>
      </x:c>
      <x:c r="C15" s="29" t="s">
        <x:v>7</x:v>
      </x:c>
      <x:c r="D15" s="29" t="s">
        <x:v>7</x:v>
      </x:c>
      <x:c r="E15" s="29" t="s">
        <x:v>7</x:v>
      </x:c>
      <x:c r="F15" s="29" t="s">
        <x:v>7</x:v>
      </x:c>
      <x:c r="G15" s="29" t="s">
        <x:v>7</x:v>
      </x:c>
      <x:c r="H15" s="29" t="s">
        <x:v>7</x:v>
      </x:c>
    </x:row>
    <x:row r="16" ht="16.5">
      <x:c r="A16" s="29" t="s">
        <x:v>8</x:v>
      </x:c>
      <x:c r="B16" s="29" t="s">
        <x:v>8</x:v>
      </x:c>
      <x:c r="C16" s="29" t="s">
        <x:v>8</x:v>
      </x:c>
      <x:c r="D16" s="29" t="s">
        <x:v>8</x:v>
      </x:c>
      <x:c r="E16" s="29" t="s">
        <x:v>8</x:v>
      </x:c>
      <x:c r="F16" s="29" t="s">
        <x:v>8</x:v>
      </x:c>
      <x:c r="G16" s="29" t="s">
        <x:v>8</x:v>
      </x:c>
      <x:c r="H16" s="29" t="s">
        <x:v>8</x:v>
      </x:c>
    </x:row>
    <x:row r="17" ht="16.5">
      <x:c r="A17" s="30" t="s">
        <x:v>9</x:v>
      </x:c>
      <x:c r="B17" s="30" t="s">
        <x:v>9</x:v>
      </x:c>
      <x:c r="C17" s="30" t="s">
        <x:v>9</x:v>
      </x:c>
      <x:c r="D17" s="30" t="s">
        <x:v>9</x:v>
      </x:c>
      <x:c r="E17" s="30" t="s">
        <x:v>9</x:v>
      </x:c>
      <x:c r="F17" s="30" t="s">
        <x:v>9</x:v>
      </x:c>
      <x:c r="G17" s="30" t="s">
        <x:v>9</x:v>
      </x:c>
      <x:c r="H17" s="30" t="s">
        <x:v>9</x:v>
      </x:c>
    </x:row>
  </x:sheetData>
  <x:mergeCells>
    <x:mergeCell ref="A17:H17"/>
    <x:mergeCell ref="A15:H15"/>
    <x:mergeCell ref="A16:H16"/>
    <x:mergeCell ref="A1:H1"/>
    <x:mergeCell ref="B3:H3"/>
    <x:mergeCell ref="B4:H4"/>
    <x:mergeCell ref="B5:H5"/>
    <x:mergeCell ref="B6:H6"/>
    <x:mergeCell ref="B7:H7"/>
    <x:mergeCell ref="B8:H8"/>
    <x:mergeCell ref="B9:H9"/>
    <x:mergeCell ref="B10:H10"/>
    <x:mergeCell ref="B11:H11"/>
  </x:mergeCells>
  <x:printOptions horizontalCentered="0" verticalCentered="0" gridLines="0" headings="0"/>
  <x:pageMargins left="0.3" right="0.3" top="0.5" bottom="0.5" header="0.2" footer="0.2"/>
  <x:pageSetup paperSize="9" orientation="landscape" fitToWidth="1" fitToHeight="1" blackAndWhite="0" draft="0"/>
  <x:headerFooter>
    <x:oddFooter>&amp;L行知旅伴 V2.3&amp;R第 &amp;P / &amp;N 页</x:oddFooter>
  </x:headerFooter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>
      <x:pane xSplit="5" ySplit="4" topLeftCell="F5" activePane="bottomRight" state="frozen"/>
      <x:selection pane="bottomRight" activeCell="F5" sqref="F5"/>
    </x:sheetView>
  </x:sheetViews>
  <x:sheetFormatPr defaultColWidth="9" defaultRowHeight="14.25"/>
  <x:cols>
    <x:col min="1" max="2" width="12" style="17" customWidth="1"/>
    <x:col min="3" max="3" width="11" style="17" customWidth="1"/>
    <x:col min="4" max="4" width="25" style="17" customWidth="1"/>
    <x:col min="5" max="5" width="40" style="17" customWidth="1"/>
    <x:col min="6" max="6" width="9" style="17" customWidth="1"/>
    <x:col min="7" max="7" width="12" style="17" customWidth="1"/>
    <x:col min="8" max="8" width="9" style="17" customWidth="1"/>
    <x:col min="9" max="9" width="10" style="17" customWidth="1"/>
    <x:col min="10" max="10" width="17" style="17" customWidth="1"/>
    <x:col min="11" max="11" width="10" style="17" customWidth="1"/>
    <x:col min="12" max="12" width="31" style="17" customWidth="1"/>
    <x:col min="13" max="13" width="10" style="17" customWidth="1"/>
    <x:col min="14" max="14" width="44" style="17" customWidth="1"/>
    <x:col min="15" max="15" width="28" style="18" customWidth="1"/>
    <x:col min="16" max="21" width="10" style="17" customWidth="1"/>
    <x:col min="22" max="22" width="14" style="17" customWidth="1"/>
    <x:col min="23" max="16384" width="9" style="17" customWidth="0"/>
  </x:cols>
  <x:sheetData>
    <x:row r="1" ht="21" customHeight="1">
      <x:c r="A1" s="41" t="s">
        <x:v>10</x:v>
      </x:c>
      <x:c r="B1" s="41" t="s">
        <x:v>11</x:v>
      </x:c>
      <x:c r="C1" s="41" t="s">
        <x:v>12</x:v>
      </x:c>
      <x:c r="D1" s="41" t="s">
        <x:v>13</x:v>
      </x:c>
      <x:c r="E1" s="41" t="s">
        <x:v>14</x:v>
      </x:c>
      <x:c r="F1" s="41" t="s">
        <x:v>15</x:v>
      </x:c>
      <x:c r="G1" s="41" t="s">
        <x:v>16</x:v>
      </x:c>
      <x:c r="H1" s="41" t="s">
        <x:v>17</x:v>
      </x:c>
      <x:c r="I1" s="41" t="s">
        <x:v>18</x:v>
      </x:c>
      <x:c r="J1" s="41" t="s">
        <x:v>19</x:v>
      </x:c>
      <x:c r="K1" s="41" t="s">
        <x:v>20</x:v>
      </x:c>
      <x:c r="L1" s="41" t="s">
        <x:v>21</x:v>
      </x:c>
      <x:c r="M1" s="41" t="s">
        <x:v>22</x:v>
      </x:c>
      <x:c r="N1" s="41" t="s">
        <x:v>23</x:v>
      </x:c>
      <x:c r="O1" s="41" t="s">
        <x:v>24</x:v>
      </x:c>
      <x:c r="P1" s="40" t="s">
        <x:v>25</x:v>
      </x:c>
      <x:c r="Q1" s="40" t="s">
        <x:v>25</x:v>
      </x:c>
      <x:c r="R1" s="40" t="s">
        <x:v>25</x:v>
      </x:c>
      <x:c r="S1" s="40" t="s">
        <x:v>25</x:v>
      </x:c>
      <x:c r="T1" s="40" t="s">
        <x:v>25</x:v>
      </x:c>
      <x:c r="U1" s="40" t="s">
        <x:v>25</x:v>
      </x:c>
      <x:c r="V1" s="41" t="s">
        <x:v>26</x:v>
      </x:c>
    </x:row>
    <x:row r="2" ht="21" customHeight="1">
      <x:c r="A2" s="41" t="s">
        <x:v>10</x:v>
      </x:c>
      <x:c r="B2" s="41" t="s">
        <x:v>11</x:v>
      </x:c>
      <x:c r="C2" s="41" t="s">
        <x:v>12</x:v>
      </x:c>
      <x:c r="D2" s="41" t="s">
        <x:v>13</x:v>
      </x:c>
      <x:c r="E2" s="41" t="s">
        <x:v>14</x:v>
      </x:c>
      <x:c r="F2" s="41" t="s">
        <x:v>15</x:v>
      </x:c>
      <x:c r="G2" s="41" t="s">
        <x:v>16</x:v>
      </x:c>
      <x:c r="H2" s="41" t="s">
        <x:v>17</x:v>
      </x:c>
      <x:c r="I2" s="41" t="s">
        <x:v>18</x:v>
      </x:c>
      <x:c r="J2" s="41" t="s">
        <x:v>19</x:v>
      </x:c>
      <x:c r="K2" s="41" t="s">
        <x:v>20</x:v>
      </x:c>
      <x:c r="L2" s="41" t="s">
        <x:v>21</x:v>
      </x:c>
      <x:c r="M2" s="41" t="s">
        <x:v>22</x:v>
      </x:c>
      <x:c r="N2" s="41" t="s">
        <x:v>23</x:v>
      </x:c>
      <x:c r="O2" s="41" t="s">
        <x:v>24</x:v>
      </x:c>
      <x:c r="P2" s="42" t="s">
        <x:v>27</x:v>
      </x:c>
      <x:c r="Q2" s="43" t="s">
        <x:v>28</x:v>
      </x:c>
      <x:c r="R2" s="42" t="s">
        <x:v>29</x:v>
      </x:c>
      <x:c r="S2" s="43" t="s">
        <x:v>30</x:v>
      </x:c>
      <x:c r="T2" s="42" t="s">
        <x:v>31</x:v>
      </x:c>
      <x:c r="U2" s="43" t="s">
        <x:v>32</x:v>
      </x:c>
      <x:c r="V2" s="41" t="s">
        <x:v>26</x:v>
      </x:c>
    </x:row>
    <x:row r="3" ht="21" customHeight="1">
      <x:c r="A3" s="41" t="s">
        <x:v>10</x:v>
      </x:c>
      <x:c r="B3" s="41" t="s">
        <x:v>11</x:v>
      </x:c>
      <x:c r="C3" s="41" t="s">
        <x:v>12</x:v>
      </x:c>
      <x:c r="D3" s="41" t="s">
        <x:v>13</x:v>
      </x:c>
      <x:c r="E3" s="41" t="s">
        <x:v>14</x:v>
      </x:c>
      <x:c r="F3" s="41" t="s">
        <x:v>15</x:v>
      </x:c>
      <x:c r="G3" s="41" t="s">
        <x:v>16</x:v>
      </x:c>
      <x:c r="H3" s="41" t="s">
        <x:v>17</x:v>
      </x:c>
      <x:c r="I3" s="41" t="s">
        <x:v>18</x:v>
      </x:c>
      <x:c r="J3" s="41" t="s">
        <x:v>19</x:v>
      </x:c>
      <x:c r="K3" s="41" t="s">
        <x:v>20</x:v>
      </x:c>
      <x:c r="L3" s="41" t="s">
        <x:v>21</x:v>
      </x:c>
      <x:c r="M3" s="41" t="s">
        <x:v>22</x:v>
      </x:c>
      <x:c r="N3" s="41" t="s">
        <x:v>23</x:v>
      </x:c>
      <x:c r="O3" s="41" t="s">
        <x:v>24</x:v>
      </x:c>
      <x:c r="P3" s="42" t="s">
        <x:v>27</x:v>
      </x:c>
      <x:c r="Q3" s="43" t="s">
        <x:v>28</x:v>
      </x:c>
      <x:c r="R3" s="42" t="s">
        <x:v>29</x:v>
      </x:c>
      <x:c r="S3" s="43" t="s">
        <x:v>30</x:v>
      </x:c>
      <x:c r="T3" s="42" t="s">
        <x:v>31</x:v>
      </x:c>
      <x:c r="U3" s="43" t="s">
        <x:v>32</x:v>
      </x:c>
      <x:c r="V3" s="41" t="s">
        <x:v>26</x:v>
      </x:c>
    </x:row>
    <x:row r="4" ht="21" customHeight="1">
      <x:c r="A4" s="41" t="s">
        <x:v>10</x:v>
      </x:c>
      <x:c r="B4" s="41" t="s">
        <x:v>11</x:v>
      </x:c>
      <x:c r="C4" s="41" t="s">
        <x:v>12</x:v>
      </x:c>
      <x:c r="D4" s="41" t="s">
        <x:v>13</x:v>
      </x:c>
      <x:c r="E4" s="41" t="s">
        <x:v>14</x:v>
      </x:c>
      <x:c r="F4" s="41" t="s">
        <x:v>15</x:v>
      </x:c>
      <x:c r="G4" s="41" t="s">
        <x:v>16</x:v>
      </x:c>
      <x:c r="H4" s="41" t="n">
        <x:f t="shared" ref="H4:Q4" si="0">SUM(H5:H28)</x:f>
        <x:v>48</x:v>
      </x:c>
      <x:c r="I4" s="41">
        <x:f t="shared" si="0"/>
        <x:v>0</x:v>
      </x:c>
      <x:c r="J4" s="41">
        <x:f t="shared" si="0"/>
        <x:v>0</x:v>
      </x:c>
      <x:c r="K4" s="41">
        <x:f t="shared" si="0"/>
        <x:v>0</x:v>
      </x:c>
      <x:c r="L4" s="41">
        <x:f t="shared" si="0"/>
        <x:v>0</x:v>
      </x:c>
      <x:c r="M4" s="41">
        <x:f t="shared" si="0"/>
        <x:v>0</x:v>
      </x:c>
      <x:c r="N4" s="41">
        <x:f t="shared" si="0"/>
        <x:v>0</x:v>
      </x:c>
      <x:c r="O4" s="41">
        <x:f t="shared" si="0"/>
        <x:v>0</x:v>
      </x:c>
      <x:c r="P4" s="42">
        <x:f t="shared" si="0"/>
        <x:v>24</x:v>
      </x:c>
      <x:c r="Q4" s="43">
        <x:f t="shared" si="0"/>
        <x:v>24</x:v>
      </x:c>
      <x:c r="R4" s="42" t="s">
        <x:v>29</x:v>
      </x:c>
      <x:c r="S4" s="43" t="s">
        <x:v>30</x:v>
      </x:c>
      <x:c r="T4" s="42" t="s">
        <x:v>31</x:v>
      </x:c>
      <x:c r="U4" s="43" t="s">
        <x:v>32</x:v>
      </x:c>
      <x:c r="V4" s="41" t="s">
        <x:v>26</x:v>
      </x:c>
    </x:row>
    <x:row r="5" ht="88" customHeight="1">
      <x:c r="A5" s="73" t="str">
        <x:v>S2-T001</x:v>
      </x:c>
      <x:c r="B5" s="74" t="str">
        <x:v>PBI-07-A</x:v>
      </x:c>
      <x:c r="C5" s="74" t="str">
        <x:v>AC-07-A</x:v>
      </x:c>
      <x:c r="D5" s="20" t="str">
        <x:v>对话式 2—3 人成员卡与硬冲突</x:v>
      </x:c>
      <x:c r="E5" s="3" t="str">
        <x:v>复用 TripDraft、Participant、AssistanceProfile，冻结 TripUnderstanding 固定 JSON Schema、referenceDate、字段证据、缺项/歧义及 1/2/3 人 Fixture；不新建重复业务模型。</x:v>
      </x:c>
      <x:c r="F5" s="73" t="str">
        <x:v>Must</x:v>
      </x:c>
      <x:c r="G5" s="75" t="n">
        <x:v>5</x:v>
      </x:c>
      <x:c r="H5" s="75" t="n">
        <x:v>2</x:v>
      </x:c>
      <x:c r="I5" s="73" t="str">
        <x:v>Day1</x:v>
      </x:c>
      <x:c r="J5" s="73" t="str">
        <x:v>无</x:v>
      </x:c>
      <x:c r="K5" s="73" t="str">
        <x:v>陈梓元</x:v>
      </x:c>
      <x:c r="L5" s="73" t="str">
        <x:v>可协作：张琪/林粲涵；PR 由非作者按 Schema 与信任边界风险临时指定。</x:v>
      </x:c>
      <x:c r="M5" s="73" t="str">
        <x:v>计划中</x:v>
      </x:c>
      <x:c r="N5" s="3" t="str">
        <x:v>给定自然语言和 1/2/3 人输入，模型只返回草稿/证据/确认项；strict 校验拒绝 extra 字段；participantId、状态与 Constraint 均由程序产生；显式表单值优先。</x:v>
      </x:c>
      <x:c r="O5" s="3" t="str">
        <x:v>Schema 快照；合法/非法/越界 Fixture；显式值优先与固定日期重放记录。</x:v>
      </x:c>
      <x:c r="P5" s="22" t="n">
        <x:f t="shared" ref="P5:P28" si="1">IF($I5="Day1",0,$H5)</x:f>
        <x:v>0</x:v>
      </x:c>
      <x:c r="Q5" s="23" t="n">
        <x:v>0</x:v>
      </x:c>
      <x:c r="R5" s="22" t="n">
        <x:f t="shared" ref="R5:R28" si="2">0</x:f>
        <x:v>0</x:v>
      </x:c>
      <x:c r="S5" s="23" t="n">
        <x:v>0</x:v>
      </x:c>
      <x:c r="T5" s="22" t="n">
        <x:f t="shared" ref="T5:T28" si="3">0</x:f>
        <x:v>0</x:v>
      </x:c>
      <x:c r="U5" s="23" t="n">
        <x:v>0</x:v>
      </x:c>
      <x:c r="V5" s="76" t="str">
        <x:f t="shared" ref="V5:V28" si="4">IF(M5="已完成","完成，待验收",IF(M5="阻塞","阻塞",IF(M5="进行中","执行中","待执行")))</x:f>
        <x:v>待执行</x:v>
      </x:c>
    </x:row>
    <x:row r="6" ht="88" customHeight="1">
      <x:c r="A6" s="73" t="str">
        <x:v>S2-T002</x:v>
      </x:c>
      <x:c r="B6" s="73" t="str">
        <x:v>PBI-07-A</x:v>
      </x:c>
      <x:c r="C6" s="73" t="str">
        <x:v>AC-07-A</x:v>
      </x:c>
      <x:c r="D6" s="3" t="str">
        <x:v>对话式 2—3 人成员卡与硬冲突</x:v>
      </x:c>
      <x:c r="E6" s="3" t="str">
        <x:v>把臃肿表单收敛为单一对话壳：累计自然语言与固定问题答案，点击“整理需求”只调用一次 LLM；缺项按预设问题逐项询问，并用确认卡完成 2—3 张成员卡和四类关怀选择。</x:v>
      </x:c>
      <x:c r="F6" s="73" t="str">
        <x:v>Must</x:v>
      </x:c>
      <x:c r="G6" s="75"/>
      <x:c r="H6" s="75" t="n">
        <x:v>2</x:v>
      </x:c>
      <x:c r="I6" s="73" t="str">
        <x:v>Day1</x:v>
      </x:c>
      <x:c r="J6" s="73" t="str">
        <x:v>S2-T001</x:v>
      </x:c>
      <x:c r="K6" s="73" t="str">
        <x:v>陈梓元</x:v>
      </x:c>
      <x:c r="L6" s="73" t="str">
        <x:v>可协作：王敬博/林粲涵；PR 由非作者按对话可用性风险临时指定。</x:v>
      </x:c>
      <x:c r="M6" s="73" t="str">
        <x:v>计划中</x:v>
      </x:c>
      <x:c r="N6" s="3" t="str">
        <x:v>用户始终只看当前问题、可编辑确认卡和一个主操作；普通/亲子/低体力/行动辅助可选；所有必要字段及组织者确认完成前“开始规划”不可用。</x:v>
      </x:c>
      <x:c r="O6" s="3" t="str">
        <x:v>90 秒交互录屏；2/3 人确认截图；缺项逐问与未确认阻断截图。</x:v>
      </x:c>
      <x:c r="P6" s="22" t="n">
        <x:f t="shared" si="1"/>
        <x:v>0</x:v>
      </x:c>
      <x:c r="Q6" s="23" t="n">
        <x:v>0</x:v>
      </x:c>
      <x:c r="R6" s="22" t="n">
        <x:f t="shared" si="2"/>
        <x:v>0</x:v>
      </x:c>
      <x:c r="S6" s="23" t="n">
        <x:v>0</x:v>
      </x:c>
      <x:c r="T6" s="22" t="n">
        <x:f t="shared" si="3"/>
        <x:v>0</x:v>
      </x:c>
      <x:c r="U6" s="23" t="n">
        <x:v>0</x:v>
      </x:c>
      <x:c r="V6" s="76" t="str">
        <x:f t="shared" si="4">IF(M6="已完成","完成，待验收",IF(M6="阻塞","阻塞",IF(M6="进行中","执行中","待执行")))</x:f>
        <x:v>待执行</x:v>
      </x:c>
    </x:row>
    <x:row r="7" ht="88" customHeight="1">
      <x:c r="A7" s="73" t="str">
        <x:v>S2-T003</x:v>
      </x:c>
      <x:c r="B7" s="74" t="str">
        <x:v>PBI-07-A</x:v>
      </x:c>
      <x:c r="C7" s="74" t="str">
        <x:v>AC-07-A</x:v>
      </x:c>
      <x:c r="D7" s="20" t="str">
        <x:v>对话式 2—3 人成员卡与硬冲突</x:v>
      </x:c>
      <x:c r="E7" s="3" t="str">
        <x:v>实现 LLM 草稿的 Schema、类型、时间、预算与必填校验，并复用确定性硬冲突检测生成 confirmationItems。</x:v>
      </x:c>
      <x:c r="F7" s="73" t="str">
        <x:v>Must</x:v>
      </x:c>
      <x:c r="G7" s="75"/>
      <x:c r="H7" s="75" t="n">
        <x:v>2</x:v>
      </x:c>
      <x:c r="I7" s="73" t="str">
        <x:v>Day1</x:v>
      </x:c>
      <x:c r="J7" s="73" t="str">
        <x:v>S2-T001</x:v>
      </x:c>
      <x:c r="K7" s="73" t="str">
        <x:v>陈梓元</x:v>
      </x:c>
      <x:c r="L7" s="73" t="str">
        <x:v>可协作：林粲涵/王敬博；PR 由非作者按硬约束风险临时指定。</x:v>
      </x:c>
      <x:c r="M7" s="73" t="str">
        <x:v>计划中</x:v>
      </x:c>
      <x:c r="N7" s="3" t="str">
        <x:v>缺失、歧义或冲突逐条显示字段/participantId/ruleId/原因与可放宽项；冲突未解决或关键字段未确认时不调用 Provider/规划器；同输入结果可复现。</x:v>
      </x:c>
      <x:c r="O7" s="3" t="str">
        <x:v>冲突矩阵；确认清单；确定性短路日志；重复运行快照。</x:v>
      </x:c>
      <x:c r="P7" s="22" t="n">
        <x:f t="shared" si="1"/>
        <x:v>0</x:v>
      </x:c>
      <x:c r="Q7" s="23" t="n">
        <x:v>0</x:v>
      </x:c>
      <x:c r="R7" s="22" t="n">
        <x:f t="shared" si="2"/>
        <x:v>0</x:v>
      </x:c>
      <x:c r="S7" s="23" t="n">
        <x:v>0</x:v>
      </x:c>
      <x:c r="T7" s="22" t="n">
        <x:f t="shared" si="3"/>
        <x:v>0</x:v>
      </x:c>
      <x:c r="U7" s="23" t="n">
        <x:v>0</x:v>
      </x:c>
      <x:c r="V7" s="76" t="str">
        <x:f t="shared" si="4">IF(M7="已完成","完成，待验收",IF(M7="阻塞","阻塞",IF(M7="进行中","执行中","待执行")))</x:f>
        <x:v>待执行</x:v>
      </x:c>
    </x:row>
    <x:row r="8" ht="88" customHeight="1">
      <x:c r="A8" s="73" t="str">
        <x:v>S2-T004</x:v>
      </x:c>
      <x:c r="B8" s="73" t="str">
        <x:v>PBI-07-A</x:v>
      </x:c>
      <x:c r="C8" s="73" t="str">
        <x:v>AC-07-A</x:v>
      </x:c>
      <x:c r="D8" s="3" t="str">
        <x:v>对话式 2—3 人成员卡与硬冲突</x:v>
      </x:c>
      <x:c r="E8" s="3" t="str">
        <x:v>把第一次 LLM 调用接入现有 TripDraft 入口：保存原始输入与草稿，用户确认 Trip/AssistanceProfile 后再由程序编译 Constraint；超时、非 JSON 或 Schema 失败回退现有规则解析与结构化表单。</x:v>
      </x:c>
      <x:c r="F8" s="73" t="str">
        <x:v>Must</x:v>
      </x:c>
      <x:c r="G8" s="75"/>
      <x:c r="H8" s="75" t="n">
        <x:v>2</x:v>
      </x:c>
      <x:c r="I8" s="73" t="str">
        <x:v>Day2</x:v>
      </x:c>
      <x:c r="J8" s="73" t="str">
        <x:v>S2-T001,S2-T002,S2-T003</x:v>
      </x:c>
      <x:c r="K8" s="73" t="str">
        <x:v>陈梓元</x:v>
      </x:c>
      <x:c r="L8" s="73" t="str">
        <x:v>可协作：张琪/林粲涵；PR 由非作者按状态门禁风险临时指定。</x:v>
      </x:c>
      <x:c r="M8" s="73" t="str">
        <x:v>计划中</x:v>
      </x:c>
      <x:c r="N8" s="3" t="str">
        <x:v>LLM 失败时原文不丢、表单可继续；关键字段修改后状态退回待确认；只有 DRAFT→CONSTRAINT_CONFIRMED 的程序路径放行规划；模型不能写正式 Trip/Constraint 状态。</x:v>
      </x:c>
      <x:c r="O8" s="3" t="str">
        <x:v>调用 Trace（脱敏）；超时/格式错/修改回退录屏；确认前后状态记录。</x:v>
      </x:c>
      <x:c r="P8" s="22" t="n">
        <x:f t="shared" si="1"/>
        <x:v>2</x:v>
      </x:c>
      <x:c r="Q8" s="23" t="n">
        <x:v>2</x:v>
      </x:c>
      <x:c r="R8" s="22" t="n">
        <x:f t="shared" si="2"/>
        <x:v>0</x:v>
      </x:c>
      <x:c r="S8" s="23" t="n">
        <x:v>0</x:v>
      </x:c>
      <x:c r="T8" s="22" t="n">
        <x:f t="shared" si="3"/>
        <x:v>0</x:v>
      </x:c>
      <x:c r="U8" s="23" t="n">
        <x:v>0</x:v>
      </x:c>
      <x:c r="V8" s="76" t="str">
        <x:f t="shared" si="4">IF(M8="已完成","完成，待验收",IF(M8="阻塞","阻塞",IF(M8="进行中","执行中","待执行")))</x:f>
        <x:v>待执行</x:v>
      </x:c>
    </x:row>
    <x:row r="9" ht="88" customHeight="1">
      <x:c r="A9" s="73" t="str">
        <x:v>S2-T005</x:v>
      </x:c>
      <x:c r="B9" s="74" t="str">
        <x:v>PBI-11-A</x:v>
      </x:c>
      <x:c r="C9" s="74" t="str">
        <x:v>AC-11-A</x:v>
      </x:c>
      <x:c r="D9" s="20" t="str">
        <x:v>多人复用执行与版本服务</x:v>
      </x:c>
      <x:c r="E9" s="3" t="str">
        <x:v>建立 1/2/3 人共用的 ExecutionEvent、PlanVersion、Diff 与回退适配层；沿用 Day1 冻结契约/Fixture，与重规划前端并行联调。</x:v>
      </x:c>
      <x:c r="F9" s="73" t="str">
        <x:v>Must</x:v>
      </x:c>
      <x:c r="G9" s="75" t="n">
        <x:v>3</x:v>
      </x:c>
      <x:c r="H9" s="75" t="n">
        <x:v>2</x:v>
      </x:c>
      <x:c r="I9" s="73" t="str">
        <x:v>Day2</x:v>
      </x:c>
      <x:c r="J9" s="73" t="str">
        <x:v>S2-T001；Day1 冻结版本 Fixture</x:v>
      </x:c>
      <x:c r="K9" s="73" t="str">
        <x:v>陈梓元</x:v>
      </x:c>
      <x:c r="L9" s="73" t="str">
        <x:v>可协作：林粲涵/张琪；PR 由非作者按状态机风险临时指定。</x:v>
      </x:c>
      <x:c r="M9" s="73" t="str">
        <x:v>计划中</x:v>
      </x:c>
      <x:c r="N9" s="3" t="str">
        <x:v>1/2/3 人调用同一执行、事件和版本接口；同一 Trip 仅一个 CURRENT；组织者代表接受/拒绝候选 V2；不复制数据库表、页面或状态机。</x:v>
      </x:c>
      <x:c r="O9" s="3" t="str">
        <x:v>统一契约；1/2/3 人状态快照；唯一 CURRENT 与幂等记录。</x:v>
      </x:c>
      <x:c r="P9" s="22" t="n">
        <x:f t="shared" si="1"/>
        <x:v>2</x:v>
      </x:c>
      <x:c r="Q9" s="23" t="n">
        <x:v>2</x:v>
      </x:c>
      <x:c r="R9" s="22" t="n">
        <x:f t="shared" si="2"/>
        <x:v>0</x:v>
      </x:c>
      <x:c r="S9" s="23" t="n">
        <x:v>0</x:v>
      </x:c>
      <x:c r="T9" s="22" t="n">
        <x:f t="shared" si="3"/>
        <x:v>0</x:v>
      </x:c>
      <x:c r="U9" s="23" t="n">
        <x:v>0</x:v>
      </x:c>
      <x:c r="V9" s="76" t="str">
        <x:f t="shared" si="4">IF(M9="已完成","完成，待验收",IF(M9="阻塞","阻塞",IF(M9="进行中","执行中","待执行")))</x:f>
        <x:v>待执行</x:v>
      </x:c>
    </x:row>
    <x:row r="10" ht="88" customHeight="1">
      <x:c r="A10" s="73" t="str">
        <x:v>S2-T006</x:v>
      </x:c>
      <x:c r="B10" s="73" t="str">
        <x:v>PBI-11-A</x:v>
      </x:c>
      <x:c r="C10" s="73" t="str">
        <x:v>AC-11-A</x:v>
      </x:c>
      <x:c r="D10" s="3" t="str">
        <x:v>多人复用执行与版本服务</x:v>
      </x:c>
      <x:c r="E10" s="3" t="str">
        <x:v>完成 1/2/3 人 V1→事件→候选 V2→Diff→接受/拒绝的兼容性回归，验证 LLM 文本不会改变版本数据。</x:v>
      </x:c>
      <x:c r="F10" s="73" t="str">
        <x:v>Must</x:v>
      </x:c>
      <x:c r="G10" s="75"/>
      <x:c r="H10" s="75" t="n">
        <x:v>2</x:v>
      </x:c>
      <x:c r="I10" s="73" t="str">
        <x:v>Day2</x:v>
      </x:c>
      <x:c r="J10" s="73" t="str">
        <x:v>S2-T004,S2-T005；S2-T022 冻结 Fixture</x:v>
      </x:c>
      <x:c r="K10" s="73" t="str">
        <x:v>陈梓元</x:v>
      </x:c>
      <x:c r="L10" s="73" t="str">
        <x:v>可协作：全员；PR 由非作者按主链风险临时指定。</x:v>
      </x:c>
      <x:c r="M10" s="73" t="str">
        <x:v>计划中</x:v>
      </x:c>
      <x:c r="N10" s="3" t="str">
        <x:v>三组均保持唯一 CURRENT；候选未接受前当前版本不变；拒绝保持 V1，接受原子切换；修改解释文本不改变 plan digest/Diff。</x:v>
      </x:c>
      <x:c r="O10" s="3" t="str">
        <x:v>三组 E2E 日志；版本/Diff 快照；解释变更不影响 digest 记录。</x:v>
      </x:c>
      <x:c r="P10" s="22" t="n">
        <x:f t="shared" si="1"/>
        <x:v>2</x:v>
      </x:c>
      <x:c r="Q10" s="23" t="n">
        <x:v>2</x:v>
      </x:c>
      <x:c r="R10" s="22" t="n">
        <x:f t="shared" si="2"/>
        <x:v>0</x:v>
      </x:c>
      <x:c r="S10" s="23" t="n">
        <x:v>0</x:v>
      </x:c>
      <x:c r="T10" s="22" t="n">
        <x:f t="shared" si="3"/>
        <x:v>0</x:v>
      </x:c>
      <x:c r="U10" s="23" t="n">
        <x:v>0</x:v>
      </x:c>
      <x:c r="V10" s="76" t="str">
        <x:f t="shared" si="4">IF(M10="已完成","完成，待验收",IF(M10="阻塞","阻塞",IF(M10="进行中","执行中","待执行")))</x:f>
        <x:v>待执行</x:v>
      </x:c>
    </x:row>
    <x:row r="11" ht="88" customHeight="1">
      <x:c r="A11" s="73" t="str">
        <x:v>S2-T007</x:v>
      </x:c>
      <x:c r="B11" s="74" t="str">
        <x:v>PBI-08-A</x:v>
      </x:c>
      <x:c r="C11" s="74" t="str">
        <x:v>AC-08-A</x:v>
      </x:c>
      <x:c r="D11" s="20" t="str">
        <x:v>Provider 候选与公平唯一推荐</x:v>
      </x:c>
      <x:c r="E11" s="3" t="str">
        <x:v>定义每位成员 0—100 满意度向量、可追溯扣分和服务端评分 Fixture；禁止接收 LLM/客户端自报 satisfactionLoss。</x:v>
      </x:c>
      <x:c r="F11" s="73" t="str">
        <x:v>Must</x:v>
      </x:c>
      <x:c r="G11" s="75" t="n">
        <x:v>5</x:v>
      </x:c>
      <x:c r="H11" s="75" t="n">
        <x:v>2</x:v>
      </x:c>
      <x:c r="I11" s="73" t="str">
        <x:v>Day1</x:v>
      </x:c>
      <x:c r="J11" s="73" t="str">
        <x:v>S2-T001</x:v>
      </x:c>
      <x:c r="K11" s="73" t="str">
        <x:v>王敬博</x:v>
      </x:c>
      <x:c r="L11" s="73" t="str">
        <x:v>可协作：陈梓元/张琪；PR 由非作者按公平规则风险临时指定。</x:v>
      </x:c>
      <x:c r="M11" s="73" t="str">
        <x:v>计划中</x:v>
      </x:c>
      <x:c r="N11" s="3" t="str">
        <x:v>每位成员得到 0—100 分及 ruleId 扣分；分数只由已确认偏好和 Provider 事实计算；HARD 失败候选不参与；同输入同分数。</x:v>
      </x:c>
      <x:c r="O11" s="3" t="str">
        <x:v>评分规则表；成员向量/扣分快照；边界与确定性记录。</x:v>
      </x:c>
      <x:c r="P11" s="22" t="n">
        <x:f t="shared" si="1"/>
        <x:v>0</x:v>
      </x:c>
      <x:c r="Q11" s="23" t="n">
        <x:v>0</x:v>
      </x:c>
      <x:c r="R11" s="22" t="n">
        <x:f t="shared" si="2"/>
        <x:v>0</x:v>
      </x:c>
      <x:c r="S11" s="23" t="n">
        <x:v>0</x:v>
      </x:c>
      <x:c r="T11" s="22" t="n">
        <x:f t="shared" si="3"/>
        <x:v>0</x:v>
      </x:c>
      <x:c r="U11" s="23" t="n">
        <x:v>0</x:v>
      </x:c>
      <x:c r="V11" s="76" t="str">
        <x:f t="shared" si="4">IF(M11="已完成","完成，待验收",IF(M11="阻塞","阻塞",IF(M11="进行中","执行中","待执行")))</x:f>
        <x:v>待执行</x:v>
      </x:c>
    </x:row>
    <x:row r="12" ht="88" customHeight="1">
      <x:c r="A12" s="73" t="str">
        <x:v>S2-T008</x:v>
      </x:c>
      <x:c r="B12" s="73" t="str">
        <x:v>PBI-08-A</x:v>
      </x:c>
      <x:c r="C12" s="73" t="str">
        <x:v>AC-08-A</x:v>
      </x:c>
      <x:c r="D12" s="3" t="str">
        <x:v>Provider 候选与公平唯一推荐</x:v>
      </x:c>
      <x:c r="E12" s="3" t="str">
        <x:v>实现 max-min→平均满意度→费用→绕路→稳定 ID 的确定性排序，只放行一个 3—4 任务方案。</x:v>
      </x:c>
      <x:c r="F12" s="73" t="str">
        <x:v>Must</x:v>
      </x:c>
      <x:c r="G12" s="75"/>
      <x:c r="H12" s="75" t="n">
        <x:v>2</x:v>
      </x:c>
      <x:c r="I12" s="73" t="str">
        <x:v>Day1</x:v>
      </x:c>
      <x:c r="J12" s="73" t="str">
        <x:v>S2-T007</x:v>
      </x:c>
      <x:c r="K12" s="73" t="str">
        <x:v>王敬博</x:v>
      </x:c>
      <x:c r="L12" s="73" t="str">
        <x:v>可协作：陈梓元/张琪；PR 由非作者按排序与金额风险临时指定。</x:v>
      </x:c>
      <x:c r="M12" s="73" t="str">
        <x:v>计划中</x:v>
      </x:c>
      <x:c r="N12" s="3" t="str">
        <x:v>至少两个可行候选时先最大化最低成员分，再比较平均分、费用和绕路，最终以稳定 ID 决胜；重复运行只返回同一推荐。</x:v>
      </x:c>
      <x:c r="O12" s="3" t="str">
        <x:v>排序 Fixture；同分决胜记录；费用/绕路追溯；重复运行哈希。</x:v>
      </x:c>
      <x:c r="P12" s="22" t="n">
        <x:f t="shared" si="1"/>
        <x:v>0</x:v>
      </x:c>
      <x:c r="Q12" s="23" t="n">
        <x:v>0</x:v>
      </x:c>
      <x:c r="R12" s="22" t="n">
        <x:f t="shared" si="2"/>
        <x:v>0</x:v>
      </x:c>
      <x:c r="S12" s="23" t="n">
        <x:v>0</x:v>
      </x:c>
      <x:c r="T12" s="22" t="n">
        <x:f t="shared" si="3"/>
        <x:v>0</x:v>
      </x:c>
      <x:c r="U12" s="23" t="n">
        <x:v>0</x:v>
      </x:c>
      <x:c r="V12" s="76" t="str">
        <x:f t="shared" si="4">IF(M12="已完成","完成，待验收",IF(M12="阻塞","阻塞",IF(M12="进行中","执行中","待执行")))</x:f>
        <x:v>待执行</x:v>
      </x:c>
    </x:row>
    <x:row r="13" ht="88" customHeight="1">
      <x:c r="A13" s="73" t="str">
        <x:v>S2-T009</x:v>
      </x:c>
      <x:c r="B13" s="74" t="str">
        <x:v>PBI-08-A</x:v>
      </x:c>
      <x:c r="C13" s="74" t="str">
        <x:v>AC-08-A</x:v>
      </x:c>
      <x:c r="D13" s="20" t="str">
        <x:v>Provider 候选与公平唯一推荐</x:v>
      </x:c>
      <x:c r="E13" s="3" t="str">
        <x:v>接入第二次主流程 LLM：服务端从 Provider/cache 签发 6—8 个 FactRef，硬约束预过滤后让模型仅提议白名单地点 ID/顺序/简短理由，再由程序构建、校验和公平裁决。</x:v>
      </x:c>
      <x:c r="F13" s="73" t="str">
        <x:v>Must</x:v>
      </x:c>
      <x:c r="G13" s="75"/>
      <x:c r="H13" s="75" t="n">
        <x:v>2</x:v>
      </x:c>
      <x:c r="I13" s="73" t="str">
        <x:v>Day2</x:v>
      </x:c>
      <x:c r="J13" s="73" t="str">
        <x:v>S2-T003,S2-T008；Day1 FactRef Fixture</x:v>
      </x:c>
      <x:c r="K13" s="73" t="str">
        <x:v>张琪</x:v>
      </x:c>
      <x:c r="L13" s="73" t="str">
        <x:v>可协作：陈梓元/王敬博；PR 由非作者按接口与事实信任风险临时指定。</x:v>
      </x:c>
      <x:c r="M13" s="73" t="str">
        <x:v>计划中</x:v>
      </x:c>
      <x:c r="N13" s="3" t="str">
        <x:v>越界/重复 ID、extra 字段、超时或非 JSON 直接丢弃并走确定性枚举，不发起第三次修复调用；模型不得输出价格、路线、分数、PASS 或 PlanVersion 状态。</x:v>
      </x:c>
      <x:c r="O13" s="3" t="str">
        <x:v>OpenAPI/DTO；FactRef/digest；白名单拒绝与降级 Trace；无模型回退响应。</x:v>
      </x:c>
      <x:c r="P13" s="22" t="n">
        <x:f t="shared" si="1"/>
        <x:v>2</x:v>
      </x:c>
      <x:c r="Q13" s="23" t="n">
        <x:v>2</x:v>
      </x:c>
      <x:c r="R13" s="22" t="n">
        <x:f t="shared" si="2"/>
        <x:v>0</x:v>
      </x:c>
      <x:c r="S13" s="23" t="n">
        <x:v>0</x:v>
      </x:c>
      <x:c r="T13" s="22" t="n">
        <x:f t="shared" si="3"/>
        <x:v>0</x:v>
      </x:c>
      <x:c r="U13" s="23" t="n">
        <x:v>0</x:v>
      </x:c>
      <x:c r="V13" s="76" t="str">
        <x:f t="shared" si="4">IF(M13="已完成","完成，待验收",IF(M13="阻塞","阻塞",IF(M13="进行中","执行中","待执行")))</x:f>
        <x:v>待执行</x:v>
      </x:c>
    </x:row>
    <x:row r="14" ht="88" customHeight="1">
      <x:c r="A14" s="73" t="str">
        <x:v>S2-T010</x:v>
      </x:c>
      <x:c r="B14" s="73" t="str">
        <x:v>PBI-08-A</x:v>
      </x:c>
      <x:c r="C14" s="73" t="str">
        <x:v>AC-08-A</x:v>
      </x:c>
      <x:c r="D14" s="3" t="str">
        <x:v>Provider 候选与公平唯一推荐</x:v>
      </x:c>
      <x:c r="E14" s="3" t="str">
        <x:v>完成精简推荐前端：在同一对话流展示候选来源、每人成绩、最低分优先、照顾点、妥协与唯一 3—4 任务方案；技术证据默认折叠。</x:v>
      </x:c>
      <x:c r="F14" s="73" t="str">
        <x:v>Must</x:v>
      </x:c>
      <x:c r="G14" s="75"/>
      <x:c r="H14" s="75" t="n">
        <x:v>2</x:v>
      </x:c>
      <x:c r="I14" s="73" t="str">
        <x:v>Day2</x:v>
      </x:c>
      <x:c r="J14" s="73" t="str">
        <x:v>S2-T009 契约 Fixture（真实接口不作为开工阻塞）</x:v>
      </x:c>
      <x:c r="K14" s="73" t="str">
        <x:v>王敬博</x:v>
      </x:c>
      <x:c r="L14" s="73" t="str">
        <x:v>可协作：张琪/林粲涵；PR 由非作者按用户解释风险临时指定。</x:v>
      </x:c>
      <x:c r="M14" s="73" t="str">
        <x:v>计划中</x:v>
      </x:c>
      <x:c r="N14" s="3" t="str">
        <x:v>页面只有一个推荐和一个确认主操作；解释失败仍展示结构化方案；未知事实标“待确认”；不出现双方案、伪 PASS 或被模型改写的金额/任务。</x:v>
      </x:c>
      <x:c r="O14" s="3" t="str">
        <x:v>90 秒主流程录屏；2/3 人截图；解释失败/未知事实截图。</x:v>
      </x:c>
      <x:c r="P14" s="22" t="n">
        <x:f t="shared" si="1"/>
        <x:v>2</x:v>
      </x:c>
      <x:c r="Q14" s="23" t="n">
        <x:v>2</x:v>
      </x:c>
      <x:c r="R14" s="22" t="n">
        <x:f t="shared" si="2"/>
        <x:v>0</x:v>
      </x:c>
      <x:c r="S14" s="23" t="n">
        <x:v>0</x:v>
      </x:c>
      <x:c r="T14" s="22" t="n">
        <x:f t="shared" si="3"/>
        <x:v>0</x:v>
      </x:c>
      <x:c r="U14" s="23" t="n">
        <x:v>0</x:v>
      </x:c>
      <x:c r="V14" s="76" t="str">
        <x:f t="shared" si="4">IF(M14="已完成","完成，待验收",IF(M14="阻塞","阻塞",IF(M14="进行中","执行中","待执行")))</x:f>
        <x:v>待执行</x:v>
      </x:c>
    </x:row>
    <x:row r="15" ht="88" customHeight="1">
      <x:c r="A15" s="73" t="str">
        <x:v>S2-T011</x:v>
      </x:c>
      <x:c r="B15" s="74" t="str">
        <x:v>PBI-10-A</x:v>
      </x:c>
      <x:c r="C15" s="74" t="str">
        <x:v>AC-10-A</x:v>
      </x:c>
      <x:c r="D15" s="20" t="str">
        <x:v>任务照片与媒体管理</x:v>
      </x:c>
      <x:c r="E15" s="3" t="str">
        <x:v>实现照片选择后的前端重编码、压缩至 1.5MB 以下并移除 EXIF。</x:v>
      </x:c>
      <x:c r="F15" s="73" t="str">
        <x:v>Must</x:v>
      </x:c>
      <x:c r="G15" s="75" t="n">
        <x:v>5</x:v>
      </x:c>
      <x:c r="H15" s="75" t="n">
        <x:v>2</x:v>
      </x:c>
      <x:c r="I15" s="73" t="str">
        <x:v>Day1</x:v>
      </x:c>
      <x:c r="J15" s="73" t="str">
        <x:v>无</x:v>
      </x:c>
      <x:c r="K15" s="73" t="str">
        <x:v>王敬博</x:v>
      </x:c>
      <x:c r="L15" s="73" t="str">
        <x:v>可协作：张琪/林粲涵；PR 由非作者按媒体隐私风险临时指定。</x:v>
      </x:c>
      <x:c r="M15" s="73" t="str">
        <x:v>计划中</x:v>
      </x:c>
      <x:c r="N15" s="3" t="str">
        <x:v>含 EXIF 的大图被处理为小于 1.5MB 且无 EXIF；处理失败有可见提示并不阻断任务完成。</x:v>
      </x:c>
      <x:c r="O15" s="3" t="str">
        <x:v>压缩前后样本；EXIF 检查；大小与失败录屏。</x:v>
      </x:c>
      <x:c r="P15" s="22" t="n">
        <x:f t="shared" si="1"/>
        <x:v>0</x:v>
      </x:c>
      <x:c r="Q15" s="23" t="n">
        <x:v>0</x:v>
      </x:c>
      <x:c r="R15" s="22" t="n">
        <x:f t="shared" si="2"/>
        <x:v>0</x:v>
      </x:c>
      <x:c r="S15" s="23" t="n">
        <x:v>0</x:v>
      </x:c>
      <x:c r="T15" s="22" t="n">
        <x:f t="shared" si="3"/>
        <x:v>0</x:v>
      </x:c>
      <x:c r="U15" s="23" t="n">
        <x:v>0</x:v>
      </x:c>
      <x:c r="V15" s="76" t="str">
        <x:f t="shared" si="4">IF(M15="已完成","完成，待验收",IF(M15="阻塞","阻塞",IF(M15="进行中","执行中","待执行")))</x:f>
        <x:v>待执行</x:v>
      </x:c>
    </x:row>
    <x:row r="16" ht="88" customHeight="1">
      <x:c r="A16" s="73" t="str">
        <x:v>S2-T012</x:v>
      </x:c>
      <x:c r="B16" s="73" t="str">
        <x:v>PBI-10-A</x:v>
      </x:c>
      <x:c r="C16" s="73" t="str">
        <x:v>AC-10-A</x:v>
      </x:c>
      <x:c r="D16" s="3" t="str">
        <x:v>任务照片与媒体管理</x:v>
      </x:c>
      <x:c r="E16" s="3" t="str">
        <x:v>完成上传、taskId 绑定、预览、替换、删除与每站 1 张/全程 8 张边界。</x:v>
      </x:c>
      <x:c r="F16" s="73" t="str">
        <x:v>Must</x:v>
      </x:c>
      <x:c r="G16" s="75"/>
      <x:c r="H16" s="75" t="n">
        <x:v>2</x:v>
      </x:c>
      <x:c r="I16" s="73" t="str">
        <x:v>Day2</x:v>
      </x:c>
      <x:c r="J16" s="73" t="str">
        <x:v>S2-T011</x:v>
      </x:c>
      <x:c r="K16" s="73" t="str">
        <x:v>王敬博</x:v>
      </x:c>
      <x:c r="L16" s="73" t="str">
        <x:v>可协作：张琪/陈梓元；PR 由非作者按存储与删除风险临时指定。</x:v>
      </x:c>
      <x:c r="M16" s="73" t="str">
        <x:v>计划中</x:v>
      </x:c>
      <x:c r="N16" s="3" t="str">
        <x:v>第 9 张被阻止；替换保持同一任务；删除后执行页与回忆页都不再显示；上传失败和 0 张照片不阻断结束。</x:v>
      </x:c>
      <x:c r="O16" s="3" t="str">
        <x:v>1/8/9 张录屏；taskId 绑定；替换/删除/失败/零照片截图。</x:v>
      </x:c>
      <x:c r="P16" s="22" t="n">
        <x:f t="shared" si="1"/>
        <x:v>2</x:v>
      </x:c>
      <x:c r="Q16" s="23" t="n">
        <x:v>2</x:v>
      </x:c>
      <x:c r="R16" s="22" t="n">
        <x:f t="shared" si="2"/>
        <x:v>0</x:v>
      </x:c>
      <x:c r="S16" s="23" t="n">
        <x:v>0</x:v>
      </x:c>
      <x:c r="T16" s="22" t="n">
        <x:f t="shared" si="3"/>
        <x:v>0</x:v>
      </x:c>
      <x:c r="U16" s="23" t="n">
        <x:v>0</x:v>
      </x:c>
      <x:c r="V16" s="76" t="str">
        <x:f t="shared" si="4">IF(M16="已完成","完成，待验收",IF(M16="阻塞","阻塞",IF(M16="进行中","执行中","待执行")))</x:f>
        <x:v>待执行</x:v>
      </x:c>
    </x:row>
    <x:row r="17" ht="88" customHeight="1">
      <x:c r="A17" s="73" t="str">
        <x:v>S2-T013</x:v>
      </x:c>
      <x:c r="B17" s="74" t="str">
        <x:v>PBI-09-A</x:v>
      </x:c>
      <x:c r="C17" s="74" t="str">
        <x:v>AC-09-A</x:v>
      </x:c>
      <x:c r="D17" s="20" t="str">
        <x:v>一次性 GPS 到达辅助确认</x:v>
      </x:c>
      <x:c r="E17" s="3" t="str">
        <x:v>封装用户主动触发的一次性浏览器定位适配器。</x:v>
      </x:c>
      <x:c r="F17" s="73" t="str">
        <x:v>Must</x:v>
      </x:c>
      <x:c r="G17" s="75" t="n">
        <x:v>5</x:v>
      </x:c>
      <x:c r="H17" s="75" t="n">
        <x:v>2</x:v>
      </x:c>
      <x:c r="I17" s="73" t="str">
        <x:v>Day1</x:v>
      </x:c>
      <x:c r="J17" s="73" t="str">
        <x:v>无</x:v>
      </x:c>
      <x:c r="K17" s="73" t="str">
        <x:v>张琪</x:v>
      </x:c>
      <x:c r="L17" s="73" t="str">
        <x:v>可协作：王敬博/林粲涵；PR 由非作者按权限与隐私风险临时指定。</x:v>
      </x:c>
      <x:c r="M17" s="73" t="str">
        <x:v>计划中</x:v>
      </x:c>
      <x:c r="N17" s="3" t="str">
        <x:v>仅调用一次 getCurrentPosition，记录坐标、accuracy、时间和来源；不调用 watchPosition、不后台持续追踪。</x:v>
      </x:c>
      <x:c r="O17" s="3" t="str">
        <x:v>权限录屏；一次调用记录；无持续监听检查。</x:v>
      </x:c>
      <x:c r="P17" s="22" t="n">
        <x:f t="shared" si="1"/>
        <x:v>0</x:v>
      </x:c>
      <x:c r="Q17" s="23" t="n">
        <x:v>0</x:v>
      </x:c>
      <x:c r="R17" s="22" t="n">
        <x:f t="shared" si="2"/>
        <x:v>0</x:v>
      </x:c>
      <x:c r="S17" s="23" t="n">
        <x:v>0</x:v>
      </x:c>
      <x:c r="T17" s="22" t="n">
        <x:f t="shared" si="3"/>
        <x:v>0</x:v>
      </x:c>
      <x:c r="U17" s="23" t="n">
        <x:v>0</x:v>
      </x:c>
      <x:c r="V17" s="76" t="str">
        <x:f t="shared" si="4">IF(M17="已完成","完成，待验收",IF(M17="阻塞","阻塞",IF(M17="进行中","执行中","待执行")))</x:f>
        <x:v>待执行</x:v>
      </x:c>
    </x:row>
    <x:row r="18" ht="88" customHeight="1">
      <x:c r="A18" s="73" t="str">
        <x:v>S2-T014</x:v>
      </x:c>
      <x:c r="B18" s="73" t="str">
        <x:v>PBI-09-A</x:v>
      </x:c>
      <x:c r="C18" s="73" t="str">
        <x:v>AC-09-A</x:v>
      </x:c>
      <x:c r="D18" s="3" t="str">
        <x:v>一次性 GPS 到达辅助确认</x:v>
      </x:c>
      <x:c r="E18" s="3" t="str">
        <x:v>实现距离计算、自动到达阈值及成功/过远/拒绝/超时/低精度五类收束。</x:v>
      </x:c>
      <x:c r="F18" s="73" t="str">
        <x:v>Must</x:v>
      </x:c>
      <x:c r="G18" s="75"/>
      <x:c r="H18" s="75" t="n">
        <x:v>2</x:v>
      </x:c>
      <x:c r="I18" s="73" t="str">
        <x:v>Day1</x:v>
      </x:c>
      <x:c r="J18" s="73" t="str">
        <x:v>S2-T013</x:v>
      </x:c>
      <x:c r="K18" s="73" t="str">
        <x:v>张琪</x:v>
      </x:c>
      <x:c r="L18" s="73" t="str">
        <x:v>可协作：陈梓元/林粲涵；PR 由非作者按地理计算风险临时指定。</x:v>
      </x:c>
      <x:c r="M18" s="73" t="str">
        <x:v>计划中</x:v>
      </x:c>
      <x:c r="N18" s="3" t="str">
        <x:v>仅 accuracy≤100m 且 distance≤max(150m,2×accuracy) 自动判附近；过远、拒绝、超时、低精度均显示原因并进入人工确认。</x:v>
      </x:c>
      <x:c r="O18" s="3" t="str">
        <x:v>距离边界 Fixture；五态结果截图；阈值计算记录。</x:v>
      </x:c>
      <x:c r="P18" s="22" t="n">
        <x:f t="shared" si="1"/>
        <x:v>0</x:v>
      </x:c>
      <x:c r="Q18" s="23" t="n">
        <x:v>0</x:v>
      </x:c>
      <x:c r="R18" s="22" t="n">
        <x:f t="shared" si="2"/>
        <x:v>0</x:v>
      </x:c>
      <x:c r="S18" s="23" t="n">
        <x:v>0</x:v>
      </x:c>
      <x:c r="T18" s="22" t="n">
        <x:f t="shared" si="3"/>
        <x:v>0</x:v>
      </x:c>
      <x:c r="U18" s="23" t="n">
        <x:v>0</x:v>
      </x:c>
      <x:c r="V18" s="76" t="str">
        <x:f t="shared" si="4">IF(M18="已完成","完成，待验收",IF(M18="阻塞","阻塞",IF(M18="进行中","执行中","待执行")))</x:f>
        <x:v>待执行</x:v>
      </x:c>
    </x:row>
    <x:row r="19" ht="88" customHeight="1">
      <x:c r="A19" s="73" t="str">
        <x:v>S2-T015</x:v>
      </x:c>
      <x:c r="B19" s="74" t="str">
        <x:v>PBI-09-A</x:v>
      </x:c>
      <x:c r="C19" s="74" t="str">
        <x:v>AC-09-A</x:v>
      </x:c>
      <x:c r="D19" s="20" t="str">
        <x:v>一次性 GPS 到达辅助确认</x:v>
      </x:c>
      <x:c r="E19" s="3" t="str">
        <x:v>把到达辅助做成当前任务的轻量对话卡，提供人工确认/取消并明确来源。</x:v>
      </x:c>
      <x:c r="F19" s="73" t="str">
        <x:v>Must</x:v>
      </x:c>
      <x:c r="G19" s="75"/>
      <x:c r="H19" s="75" t="n">
        <x:v>2</x:v>
      </x:c>
      <x:c r="I19" s="73" t="str">
        <x:v>Day2</x:v>
      </x:c>
      <x:c r="J19" s="73" t="str">
        <x:v>S2-T014</x:v>
      </x:c>
      <x:c r="K19" s="73" t="str">
        <x:v>张琪</x:v>
      </x:c>
      <x:c r="L19" s="73" t="str">
        <x:v>可协作：王敬博/林粲涵；PR 由非作者按移动交互风险临时指定。</x:v>
      </x:c>
      <x:c r="M19" s="73" t="str">
        <x:v>计划中</x:v>
      </x:c>
      <x:c r="N19" s="3" t="str">
        <x:v>成功显示精度/距离/阈值；四类非自动结果不伪装为 GPS 通过，均可人工确认或取消；一次结束后不继续定位。</x:v>
      </x:c>
      <x:c r="O19" s="3" t="str">
        <x:v>五态页面录屏；人工确认记录；持续追踪不存在的检查。</x:v>
      </x:c>
      <x:c r="P19" s="22" t="n">
        <x:f t="shared" si="1"/>
        <x:v>2</x:v>
      </x:c>
      <x:c r="Q19" s="23" t="n">
        <x:v>2</x:v>
      </x:c>
      <x:c r="R19" s="22" t="n">
        <x:f t="shared" si="2"/>
        <x:v>0</x:v>
      </x:c>
      <x:c r="S19" s="23" t="n">
        <x:v>0</x:v>
      </x:c>
      <x:c r="T19" s="22" t="n">
        <x:f t="shared" si="3"/>
        <x:v>0</x:v>
      </x:c>
      <x:c r="U19" s="23" t="n">
        <x:v>0</x:v>
      </x:c>
      <x:c r="V19" s="76" t="str">
        <x:f t="shared" si="4">IF(M19="已完成","完成，待验收",IF(M19="阻塞","阻塞",IF(M19="进行中","执行中","待执行")))</x:f>
        <x:v>待执行</x:v>
      </x:c>
    </x:row>
    <x:row r="20" ht="88" customHeight="1">
      <x:c r="A20" s="73" t="str">
        <x:v>S2-T016</x:v>
      </x:c>
      <x:c r="B20" s="73" t="str">
        <x:v>PBI-09-A</x:v>
      </x:c>
      <x:c r="C20" s="73" t="str">
        <x:v>AC-09-A</x:v>
      </x:c>
      <x:c r="D20" s="3" t="str">
        <x:v>一次性 GPS 到达辅助确认</x:v>
      </x:c>
      <x:c r="E20" s="3" t="str">
        <x:v>把 ArrivalEvidence 接入统一 ExecutionEvent 并验证幂等恢复。</x:v>
      </x:c>
      <x:c r="F20" s="73" t="str">
        <x:v>Must</x:v>
      </x:c>
      <x:c r="G20" s="75"/>
      <x:c r="H20" s="75" t="n">
        <x:v>2</x:v>
      </x:c>
      <x:c r="I20" s="73" t="str">
        <x:v>Day2</x:v>
      </x:c>
      <x:c r="J20" s="73" t="str">
        <x:v>S2-T005 契约 Fixture,S2-T015</x:v>
      </x:c>
      <x:c r="K20" s="73" t="str">
        <x:v>张琪</x:v>
      </x:c>
      <x:c r="L20" s="73" t="str">
        <x:v>可协作：陈梓元/林粲涵；PR 由非作者按事件幂等风险临时指定。</x:v>
      </x:c>
      <x:c r="M20" s="73" t="str">
        <x:v>计划中</x:v>
      </x:c>
      <x:c r="N20" s="3" t="str">
        <x:v>证据绑定 tripId/taskId/distance/accuracy/result/source；重复提交不重复完成任务，刷新后可恢复。</x:v>
      </x:c>
      <x:c r="O20" s="3" t="str">
        <x:v>事件 JSON；重复提交日志；刷新恢复录屏。</x:v>
      </x:c>
      <x:c r="P20" s="22" t="n">
        <x:f t="shared" si="1"/>
        <x:v>2</x:v>
      </x:c>
      <x:c r="Q20" s="23" t="n">
        <x:v>2</x:v>
      </x:c>
      <x:c r="R20" s="22" t="n">
        <x:f t="shared" si="2"/>
        <x:v>0</x:v>
      </x:c>
      <x:c r="S20" s="23" t="n">
        <x:v>0</x:v>
      </x:c>
      <x:c r="T20" s="22" t="n">
        <x:f t="shared" si="3"/>
        <x:v>0</x:v>
      </x:c>
      <x:c r="U20" s="23" t="n">
        <x:v>0</x:v>
      </x:c>
      <x:c r="V20" s="76" t="str">
        <x:f t="shared" si="4">IF(M20="已完成","完成，待验收",IF(M20="阻塞","阻塞",IF(M20="进行中","执行中","待执行")))</x:f>
        <x:v>待执行</x:v>
      </x:c>
    </x:row>
    <x:row r="21" ht="88" customHeight="1">
      <x:c r="A21" s="73" t="str">
        <x:v>S2-T017</x:v>
      </x:c>
      <x:c r="B21" s="74" t="str">
        <x:v>PBI-12-A</x:v>
      </x:c>
      <x:c r="C21" s="74" t="str">
        <x:v>AC-12-A</x:v>
      </x:c>
      <x:c r="D21" s="20" t="str">
        <x:v>旅行回忆页</x:v>
      </x:c>
      <x:c r="E21" s="3" t="str">
        <x:v>定义 MemoryTimeline API/聚合：按实际事件顺序汇总费用、版本、关怀与照片，并过滤已删除照片。</x:v>
      </x:c>
      <x:c r="F21" s="73" t="str">
        <x:v>Must</x:v>
      </x:c>
      <x:c r="G21" s="75" t="n">
        <x:v>5</x:v>
      </x:c>
      <x:c r="H21" s="75" t="n">
        <x:v>2</x:v>
      </x:c>
      <x:c r="I21" s="73" t="str">
        <x:v>Day1</x:v>
      </x:c>
      <x:c r="J21" s="73" t="str">
        <x:v>S2-T011,S2-T019 冻结 Fixture</x:v>
      </x:c>
      <x:c r="K21" s="73" t="str">
        <x:v>张琪</x:v>
      </x:c>
      <x:c r="L21" s="73" t="str">
        <x:v>可协作：王敬博/林粲涵；PR 由非作者按接口与聚合正确性风险临时指定。</x:v>
      </x:c>
      <x:c r="M21" s="73" t="str">
        <x:v>计划中</x:v>
      </x:c>
      <x:c r="N21" s="3" t="str">
        <x:v>乱序事件按发生时间稳定排序；照片只落在绑定任务且删除即过滤；完成率、计划/实际费用、关怀满足率与 V1/V2 变化可追溯。</x:v>
      </x:c>
      <x:c r="O21" s="3" t="str">
        <x:v>MemoryTimeline Schema；乱序/删除/0 照片/无 V2 快照。</x:v>
      </x:c>
      <x:c r="P21" s="22" t="n">
        <x:f t="shared" si="1"/>
        <x:v>0</x:v>
      </x:c>
      <x:c r="Q21" s="23" t="n">
        <x:v>0</x:v>
      </x:c>
      <x:c r="R21" s="22" t="n">
        <x:f t="shared" si="2"/>
        <x:v>0</x:v>
      </x:c>
      <x:c r="S21" s="23" t="n">
        <x:v>0</x:v>
      </x:c>
      <x:c r="T21" s="22" t="n">
        <x:f t="shared" si="3"/>
        <x:v>0</x:v>
      </x:c>
      <x:c r="U21" s="23" t="n">
        <x:v>0</x:v>
      </x:c>
      <x:c r="V21" s="76" t="str">
        <x:f t="shared" si="4">IF(M21="已完成","完成，待验收",IF(M21="阻塞","阻塞",IF(M21="进行中","执行中","待执行")))</x:f>
        <x:v>待执行</x:v>
      </x:c>
    </x:row>
    <x:row r="22" ht="88" customHeight="1">
      <x:c r="A22" s="73" t="str">
        <x:v>S2-T018</x:v>
      </x:c>
      <x:c r="B22" s="73" t="str">
        <x:v>PBI-12-A</x:v>
      </x:c>
      <x:c r="C22" s="73" t="str">
        <x:v>AC-12-A</x:v>
      </x:c>
      <x:c r="D22" s="3" t="str">
        <x:v>旅行回忆页</x:v>
      </x:c>
      <x:c r="E22" s="3" t="str">
        <x:v>在精简前端中完成旅行回忆页，复用 Sprint1 总结卡并嵌入 MemoryTimeline；覆盖有/无照片、有/无 V2。</x:v>
      </x:c>
      <x:c r="F22" s="73" t="str">
        <x:v>Must</x:v>
      </x:c>
      <x:c r="G22" s="75"/>
      <x:c r="H22" s="75" t="n">
        <x:v>2</x:v>
      </x:c>
      <x:c r="I22" s="73" t="str">
        <x:v>Day2</x:v>
      </x:c>
      <x:c r="J22" s="73" t="str">
        <x:v>S2-T012,S2-T017；S2-T022 Diff Fixture</x:v>
      </x:c>
      <x:c r="K22" s="73" t="str">
        <x:v>王敬博</x:v>
      </x:c>
      <x:c r="L22" s="73" t="str">
        <x:v>可协作：张琪/林粲涵；PR 由非作者按前端总结可读性风险临时指定。</x:v>
      </x:c>
      <x:c r="M22" s="73" t="str">
        <x:v>计划中</x:v>
      </x:c>
      <x:c r="N22" s="3" t="str">
        <x:v>页面按实际顺序展示完成率、费用、版本、关怀和照片；删除照片不出现；0 照片或无 V2 仍有完整文字总结。</x:v>
      </x:c>
      <x:c r="O22" s="3" t="str">
        <x:v>四场景页面录屏；事件到页面追溯；删除照片复核。</x:v>
      </x:c>
      <x:c r="P22" s="22" t="n">
        <x:f t="shared" si="1"/>
        <x:v>2</x:v>
      </x:c>
      <x:c r="Q22" s="23" t="n">
        <x:v>2</x:v>
      </x:c>
      <x:c r="R22" s="22" t="n">
        <x:f t="shared" si="2"/>
        <x:v>0</x:v>
      </x:c>
      <x:c r="S22" s="23" t="n">
        <x:v>0</x:v>
      </x:c>
      <x:c r="T22" s="22" t="n">
        <x:f t="shared" si="3"/>
        <x:v>0</x:v>
      </x:c>
      <x:c r="U22" s="23" t="n">
        <x:v>0</x:v>
      </x:c>
      <x:c r="V22" s="76" t="str">
        <x:f t="shared" si="4">IF(M22="已完成","完成，待验收",IF(M22="阻塞","阻塞",IF(M22="进行中","执行中","待执行")))</x:f>
        <x:v>待执行</x:v>
      </x:c>
    </x:row>
    <x:row r="23" ht="88" customHeight="1">
      <x:c r="A23" s="73" t="str">
        <x:v>S2-T019</x:v>
      </x:c>
      <x:c r="B23" s="74" t="str">
        <x:v>PBI-11-B</x:v>
      </x:c>
      <x:c r="C23" s="74" t="str">
        <x:v>AC-11-B</x:v>
      </x:c>
      <x:c r="D23" s="20" t="str">
        <x:v>迟到/疲劳对话与确定性重规划</x:v>
      </x:c>
      <x:c r="E23" s="3" t="str">
        <x:v>让 LLM 把“晚了二十分钟”“走不动了”等口语解析为 LATE/FATIGUE 事件草稿；不明确时使用固定问题确认，失败时退回数值/等级表单。</x:v>
      </x:c>
      <x:c r="F23" s="73" t="str">
        <x:v>Must</x:v>
      </x:c>
      <x:c r="G23" s="75" t="n">
        <x:v>5</x:v>
      </x:c>
      <x:c r="H23" s="75" t="n">
        <x:v>2</x:v>
      </x:c>
      <x:c r="I23" s="73" t="str">
        <x:v>Day1</x:v>
      </x:c>
      <x:c r="J23" s="73" t="str">
        <x:v>无</x:v>
      </x:c>
      <x:c r="K23" s="73" t="str">
        <x:v>林粲涵</x:v>
      </x:c>
      <x:c r="L23" s="73" t="str">
        <x:v>可协作：陈梓元/张琪；PR 由非作者按事件输入安全风险临时指定。</x:v>
      </x:c>
      <x:c r="M23" s="73" t="str">
        <x:v>计划中</x:v>
      </x:c>
      <x:c r="N23" s="3" t="str">
        <x:v>模型只返回 eventType/taskId/lateMinutes 或 fatigueLevel/确认问题；程序生成幂等键并校验；模型不能修改长期 Profile、Constraint 或版本状态。</x:v>
      </x:c>
      <x:c r="O23" s="3" t="str">
        <x:v>事件 JSON Schema；口语/歧义/非法/超时 Fixture；固定表单降级录屏。</x:v>
      </x:c>
      <x:c r="P23" s="22" t="n">
        <x:f t="shared" si="1"/>
        <x:v>0</x:v>
      </x:c>
      <x:c r="Q23" s="23" t="n">
        <x:v>0</x:v>
      </x:c>
      <x:c r="R23" s="22" t="n">
        <x:f t="shared" si="2"/>
        <x:v>0</x:v>
      </x:c>
      <x:c r="S23" s="23" t="n">
        <x:v>0</x:v>
      </x:c>
      <x:c r="T23" s="22" t="n">
        <x:f t="shared" si="3"/>
        <x:v>0</x:v>
      </x:c>
      <x:c r="U23" s="23" t="n">
        <x:v>0</x:v>
      </x:c>
      <x:c r="V23" s="76" t="str">
        <x:f t="shared" si="4">IF(M23="已完成","完成，待验收",IF(M23="阻塞","阻塞",IF(M23="进行中","执行中","待执行")))</x:f>
        <x:v>待执行</x:v>
      </x:c>
    </x:row>
    <x:row r="24" ht="88" customHeight="1">
      <x:c r="A24" s="73" t="str">
        <x:v>S2-T020</x:v>
      </x:c>
      <x:c r="B24" s="73" t="str">
        <x:v>PBI-11-B</x:v>
      </x:c>
      <x:c r="C24" s="73" t="str">
        <x:v>AC-11-B</x:v>
      </x:c>
      <x:c r="D24" s="3" t="str">
        <x:v>迟到/疲劳对话与确定性重规划</x:v>
      </x:c>
      <x:c r="E24" s="3" t="str">
        <x:v>由程序把已确认事件确定性转换为剩余时间、步行和休息约束。</x:v>
      </x:c>
      <x:c r="F24" s="73" t="str">
        <x:v>Must</x:v>
      </x:c>
      <x:c r="G24" s="75"/>
      <x:c r="H24" s="75" t="n">
        <x:v>2</x:v>
      </x:c>
      <x:c r="I24" s="73" t="str">
        <x:v>Day1</x:v>
      </x:c>
      <x:c r="J24" s="73" t="str">
        <x:v>S2-T019</x:v>
      </x:c>
      <x:c r="K24" s="73" t="str">
        <x:v>林粲涵</x:v>
      </x:c>
      <x:c r="L24" s="73" t="str">
        <x:v>可协作：陈梓元/王敬博；PR 由非作者按关怀规则风险临时指定。</x:v>
      </x:c>
      <x:c r="M24" s="73" t="str">
        <x:v>计划中</x:v>
      </x:c>
      <x:c r="N24" s="3" t="str">
        <x:v>迟到只收紧剩余时间；疲劳只调整剩余步行/休息；同输入同输出；不写回 AssistanceProfile 长期偏好，LLM 文本不能改变阈值。</x:v>
      </x:c>
      <x:c r="O24" s="3" t="str">
        <x:v>约束快照；确定性记录；Profile 未变断言。</x:v>
      </x:c>
      <x:c r="P24" s="22" t="n">
        <x:f t="shared" si="1"/>
        <x:v>0</x:v>
      </x:c>
      <x:c r="Q24" s="23" t="n">
        <x:v>0</x:v>
      </x:c>
      <x:c r="R24" s="22" t="n">
        <x:f t="shared" si="2"/>
        <x:v>0</x:v>
      </x:c>
      <x:c r="S24" s="23" t="n">
        <x:v>0</x:v>
      </x:c>
      <x:c r="T24" s="22" t="n">
        <x:f t="shared" si="3"/>
        <x:v>0</x:v>
      </x:c>
      <x:c r="U24" s="23" t="n">
        <x:v>0</x:v>
      </x:c>
      <x:c r="V24" s="76" t="str">
        <x:f t="shared" si="4">IF(M24="已完成","完成，待验收",IF(M24="阻塞","阻塞",IF(M24="进行中","执行中","待执行")))</x:f>
        <x:v>待执行</x:v>
      </x:c>
    </x:row>
    <x:row r="25" ht="88" customHeight="1">
      <x:c r="A25" s="73" t="str">
        <x:v>S2-T021</x:v>
      </x:c>
      <x:c r="B25" s="74" t="str">
        <x:v>PBI-11-B</x:v>
      </x:c>
      <x:c r="C25" s="74" t="str">
        <x:v>AC-11-B</x:v>
      </x:c>
      <x:c r="D25" s="20" t="str">
        <x:v>迟到/疲劳对话与确定性重规划</x:v>
      </x:c>
      <x:c r="E25" s="3" t="str">
        <x:v>接入 from-events 重规划与版本服务，使用服务端 Provider FactRef，冻结已完成/锁定任务并重跑硬约束。</x:v>
      </x:c>
      <x:c r="F25" s="73" t="str">
        <x:v>Must</x:v>
      </x:c>
      <x:c r="G25" s="75"/>
      <x:c r="H25" s="75" t="n">
        <x:v>2</x:v>
      </x:c>
      <x:c r="I25" s="73" t="str">
        <x:v>Day2</x:v>
      </x:c>
      <x:c r="J25" s="73" t="str">
        <x:v>S2-T019,S2-T020；Day1 版本/Provider Fixture</x:v>
      </x:c>
      <x:c r="K25" s="73" t="str">
        <x:v>林粲涵</x:v>
      </x:c>
      <x:c r="L25" s="73" t="str">
        <x:v>可协作：陈梓元/张琪；PR 由非作者按版本与事实信任风险临时指定。</x:v>
      </x:c>
      <x:c r="M25" s="73" t="str">
        <x:v>计划中</x:v>
      </x:c>
      <x:c r="N25" s="3" t="str">
        <x:v>已完成/锁定任务 100% 保留；只调整未完成后缀；预算/时间/路线/关怀全部重验；无解只返回冲突与可放宽项，不保存半成品 V2。</x:v>
      </x:c>
      <x:c r="O25" s="3" t="str">
        <x:v>重规划 Trace；冻结率；无解零持久化记录；FactRef 校验。</x:v>
      </x:c>
      <x:c r="P25" s="22" t="n">
        <x:f t="shared" si="1"/>
        <x:v>2</x:v>
      </x:c>
      <x:c r="Q25" s="23" t="n">
        <x:v>2</x:v>
      </x:c>
      <x:c r="R25" s="22" t="n">
        <x:f t="shared" si="2"/>
        <x:v>0</x:v>
      </x:c>
      <x:c r="S25" s="23" t="n">
        <x:v>0</x:v>
      </x:c>
      <x:c r="T25" s="22" t="n">
        <x:f t="shared" si="3"/>
        <x:v>0</x:v>
      </x:c>
      <x:c r="U25" s="23" t="n">
        <x:v>0</x:v>
      </x:c>
      <x:c r="V25" s="76" t="str">
        <x:f t="shared" si="4">IF(M25="已完成","完成，待验收",IF(M25="阻塞","阻塞",IF(M25="进行中","执行中","待执行")))</x:f>
        <x:v>待执行</x:v>
      </x:c>
    </x:row>
    <x:row r="26" ht="88" customHeight="1">
      <x:c r="A26" s="73" t="str">
        <x:v>S2-T022</x:v>
      </x:c>
      <x:c r="B26" s="73" t="str">
        <x:v>PBI-11-B</x:v>
      </x:c>
      <x:c r="C26" s="73" t="str">
        <x:v>AC-11-B</x:v>
      </x:c>
      <x:c r="D26" s="3" t="str">
        <x:v>迟到/疲劳对话与确定性重规划</x:v>
      </x:c>
      <x:c r="E26" s="3" t="str">
        <x:v>在对话壳中展示事件确认、候选 V2、程序 Diff 与接受/拒绝；LLM 只解释差异，失败时显示结构化 Diff。</x:v>
      </x:c>
      <x:c r="F26" s="73" t="str">
        <x:v>Must</x:v>
      </x:c>
      <x:c r="G26" s="75"/>
      <x:c r="H26" s="75" t="n">
        <x:v>2</x:v>
      </x:c>
      <x:c r="I26" s="73" t="str">
        <x:v>Day2</x:v>
      </x:c>
      <x:c r="J26" s="73" t="str">
        <x:v>S2-T019；S2-T021 输出契约 Fixture</x:v>
      </x:c>
      <x:c r="K26" s="73" t="str">
        <x:v>林粲涵</x:v>
      </x:c>
      <x:c r="L26" s="73" t="str">
        <x:v>可协作：王敬博/张琪；PR 由非作者按版本交互风险临时指定。</x:v>
      </x:c>
      <x:c r="M26" s="73" t="str">
        <x:v>计划中</x:v>
      </x:c>
      <x:c r="N26" s="3" t="str">
        <x:v>候选未接受前 CURRENT 不变；接受原子切换，拒绝继续 V1；解释文字不能新增/删除任务、改金额或状态。</x:v>
      </x:c>
      <x:c r="O26" s="3" t="str">
        <x:v>V2/Diff/接受拒绝录屏；解释失败截图；版本状态日志。</x:v>
      </x:c>
      <x:c r="P26" s="22" t="n">
        <x:f t="shared" si="1"/>
        <x:v>2</x:v>
      </x:c>
      <x:c r="Q26" s="23" t="n">
        <x:v>2</x:v>
      </x:c>
      <x:c r="R26" s="22" t="n">
        <x:f t="shared" si="2"/>
        <x:v>0</x:v>
      </x:c>
      <x:c r="S26" s="23" t="n">
        <x:v>0</x:v>
      </x:c>
      <x:c r="T26" s="22" t="n">
        <x:f t="shared" si="3"/>
        <x:v>0</x:v>
      </x:c>
      <x:c r="U26" s="23" t="n">
        <x:v>0</x:v>
      </x:c>
      <x:c r="V26" s="76" t="str">
        <x:f t="shared" si="4">IF(M26="已完成","完成，待验收",IF(M26="阻塞","阻塞",IF(M26="进行中","执行中","待执行")))</x:f>
        <x:v>待执行</x:v>
      </x:c>
    </x:row>
    <x:row r="27" ht="88" customHeight="1">
      <x:c r="A27" s="73" t="str">
        <x:v>S2-T023</x:v>
      </x:c>
      <x:c r="B27" s="74" t="str">
        <x:v>PBI-13-S2</x:v>
      </x:c>
      <x:c r="C27" s="74" t="str">
        <x:v>AC-13-S2</x:v>
      </x:c>
      <x:c r="D27" s="20" t="str">
        <x:v>精简对话式界面与移动适配</x:v>
      </x:c>
      <x:c r="E27" s="3" t="str">
        <x:v>统一规划与执行的单对话壳：渐进披露当前问题、确认卡和唯一主操作；移除重复面板/步骤堆叠，并完成 375px/768px、44px 触控与 reduced-motion。</x:v>
      </x:c>
      <x:c r="F27" s="73" t="str">
        <x:v>Must</x:v>
      </x:c>
      <x:c r="G27" s="75" t="n">
        <x:v>3</x:v>
      </x:c>
      <x:c r="H27" s="75" t="n">
        <x:v>2</x:v>
      </x:c>
      <x:c r="I27" s="73" t="str">
        <x:v>Day1</x:v>
      </x:c>
      <x:c r="J27" s="73" t="str">
        <x:v>冻结 Fixture：S2-T002,T010,T015,T019</x:v>
      </x:c>
      <x:c r="K27" s="73" t="str">
        <x:v>林粲涵</x:v>
      </x:c>
      <x:c r="L27" s="73" t="str">
        <x:v>可协作：王敬博/张琪；PR 由非作者按可用性与可访问风险临时指定。</x:v>
      </x:c>
      <x:c r="M27" s="73" t="str">
        <x:v>计划中</x:v>
      </x:c>
      <x:c r="N27" s="3" t="str">
        <x:v>375px/768px 无横向滚动；主触控目标≥44px 且间距≥8px；标签始终可见；加载、权限拒绝、上传失败有稳定反馈；减少动效后信息完整。</x:v>
      </x:c>
      <x:c r="O27" s="3" t="str">
        <x:v>前后对比图；375/768 截图；触控尺寸/加载/错误/reduced-motion 记录。</x:v>
      </x:c>
      <x:c r="P27" s="22" t="n">
        <x:f t="shared" si="1"/>
        <x:v>0</x:v>
      </x:c>
      <x:c r="Q27" s="23" t="n">
        <x:v>0</x:v>
      </x:c>
      <x:c r="R27" s="22" t="n">
        <x:f t="shared" si="2"/>
        <x:v>0</x:v>
      </x:c>
      <x:c r="S27" s="23" t="n">
        <x:v>0</x:v>
      </x:c>
      <x:c r="T27" s="22" t="n">
        <x:f t="shared" si="3"/>
        <x:v>0</x:v>
      </x:c>
      <x:c r="U27" s="23" t="n">
        <x:v>0</x:v>
      </x:c>
      <x:c r="V27" s="76" t="str">
        <x:f t="shared" si="4">IF(M27="已完成","完成，待验收",IF(M27="阻塞","阻塞",IF(M27="进行中","执行中","待执行")))</x:f>
        <x:v>待执行</x:v>
      </x:c>
    </x:row>
    <x:row r="28" ht="88" customHeight="1">
      <x:c r="A28" s="73" t="str">
        <x:v>S2-T024</x:v>
      </x:c>
      <x:c r="B28" s="73" t="str">
        <x:v>PBI-13-S2</x:v>
      </x:c>
      <x:c r="C28" s="73" t="str">
        <x:v>AC-13-S2</x:v>
      </x:c>
      <x:c r="D28" s="3" t="str">
        <x:v>精简对话式界面与移动适配</x:v>
      </x:c>
      <x:c r="E28" s="3" t="str">
        <x:v>Day2 滚动准备 90 秒规划演示与 8—12 分钟 Sprint2 完整链证据；Day3 仅做联调、清单验收、Review、彩排和关键缺陷修复。</x:v>
      </x:c>
      <x:c r="F28" s="73" t="str">
        <x:v>Must</x:v>
      </x:c>
      <x:c r="G28" s="75"/>
      <x:c r="H28" s="75" t="n">
        <x:v>2</x:v>
      </x:c>
      <x:c r="I28" s="73" t="str">
        <x:v>Day2</x:v>
      </x:c>
      <x:c r="J28" s="73" t="str">
        <x:v>各模块冻结契约可启动；最终发布门禁由教师清单判定</x:v>
      </x:c>
      <x:c r="K28" s="73" t="str">
        <x:v>林粲涵</x:v>
      </x:c>
      <x:c r="L28" s="73" t="str">
        <x:v>可协作：全员；PR 由非作者按发布与全链风险临时指定。</x:v>
      </x:c>
      <x:c r="M28" s="73" t="str">
        <x:v>计划中</x:v>
      </x:c>
      <x:c r="N28" s="3" t="str">
        <x:v>90 秒内完成自然语言→预设问题→关怀确认→Provider 候选→LLM 提议→公平唯一 3—4 任务方案；完整链再覆盖 GPS、照片、事件、V2/Diff、接受/拒绝与回忆；无 P0/P1 阻断。</x:v>
      </x:c>
      <x:c r="O28" s="3" t="str">
        <x:v>计时录屏；S2-RC1 标识；48 条 UAT 状态/证据；公网或同构建降级说明。</x:v>
      </x:c>
      <x:c r="P28" s="22" t="n">
        <x:f t="shared" si="1"/>
        <x:v>2</x:v>
      </x:c>
      <x:c r="Q28" s="23" t="n">
        <x:v>2</x:v>
      </x:c>
      <x:c r="R28" s="22" t="n">
        <x:f t="shared" si="2"/>
        <x:v>0</x:v>
      </x:c>
      <x:c r="S28" s="23" t="n">
        <x:v>0</x:v>
      </x:c>
      <x:c r="T28" s="22" t="n">
        <x:f t="shared" si="3"/>
        <x:v>0</x:v>
      </x:c>
      <x:c r="U28" s="23" t="n">
        <x:v>0</x:v>
      </x:c>
      <x:c r="V28" s="76" t="str">
        <x:f t="shared" si="4">IF(M28="已完成","完成，待验收",IF(M28="阻塞","阻塞",IF(M28="进行中","执行中","待执行")))</x:f>
        <x:v>待执行</x:v>
      </x:c>
    </x:row>
  </x:sheetData>
  <x:autoFilter ref="A4:V28"/>
  <x:mergeCells>
    <x:mergeCell ref="U2:U4"/>
    <x:mergeCell ref="V1:V4"/>
    <x:mergeCell ref="P2:P4"/>
    <x:mergeCell ref="Q2:Q4"/>
    <x:mergeCell ref="R2:R4"/>
    <x:mergeCell ref="S2:S4"/>
    <x:mergeCell ref="T2:T4"/>
    <x:mergeCell ref="P1:U1"/>
    <x:mergeCell ref="A1:A4"/>
    <x:mergeCell ref="B1:B4"/>
    <x:mergeCell ref="C1:C4"/>
    <x:mergeCell ref="D1:D4"/>
    <x:mergeCell ref="E1:E4"/>
    <x:mergeCell ref="F1:F4"/>
    <x:mergeCell ref="G1:G4"/>
    <x:mergeCell ref="H1:H4"/>
    <x:mergeCell ref="I1:I4"/>
    <x:mergeCell ref="J1:J4"/>
    <x:mergeCell ref="K1:K4"/>
    <x:mergeCell ref="L1:L4"/>
    <x:mergeCell ref="M1:M4"/>
    <x:mergeCell ref="N1:N4"/>
    <x:mergeCell ref="O1:O4"/>
  </x:mergeCells>
  <x:conditionalFormatting sqref="M5:M28">
    <x:cfRule type="containsText" dxfId="8" priority="1" operator="containsText" text="已完成">
      <x:formula>NOT(ISERROR(SEARCH("已完成",M5)))</x:formula>
    </x:cfRule>
    <x:cfRule type="containsText" dxfId="7" priority="2" operator="containsText" text="阻塞">
      <x:formula>NOT(ISERROR(SEARCH("阻塞",M5)))</x:formula>
    </x:cfRule>
    <x:cfRule type="containsText" dxfId="6" priority="3" operator="containsText" text="进行中">
      <x:formula>NOT(ISERROR(SEARCH("进行中",M5)))</x:formula>
    </x:cfRule>
    <x:cfRule type="containsText" dxfId="9" priority="4" operator="containsText" text="计划中"/>
    <x:cfRule type="containsText" dxfId="10" priority="5" operator="containsText" text="进行中"/>
    <x:cfRule type="containsText" dxfId="11" priority="6" operator="containsText" text="已完成"/>
    <x:cfRule type="containsText" dxfId="12" priority="7" operator="containsText" text="阻塞"/>
  </x:conditionalFormatting>
  <x:conditionalFormatting sqref="V5:V28">
    <x:cfRule type="containsText" dxfId="13" priority="8" operator="containsText" text="待执行"/>
  </x:conditionalFormatting>
  <x:dataValidations count="6">
    <x:dataValidation type="list" sqref="F5:F28">
      <x:formula1>"Must,Should,Could"</x:formula1>
    </x:dataValidation>
    <x:dataValidation type="whole" sqref="H5:H28">
      <x:formula1>1</x:formula1>
      <x:formula2>8</x:formula2>
    </x:dataValidation>
    <x:dataValidation type="list" sqref="I5:I28">
      <x:formula1>"Day1,Day2"</x:formula1>
    </x:dataValidation>
    <x:dataValidation type="list" sqref="K5:K28">
      <x:formula1>"陈梓元,王敬博,张琪,林粲涵"</x:formula1>
    </x:dataValidation>
    <x:dataValidation type="list" sqref="M5:M28">
      <x:formula1>"计划中,进行中,已完成,阻塞"</x:formula1>
    </x:dataValidation>
    <x:dataValidation type="whole" sqref="Q5:Q28 S5:S28 U5:U28">
      <x:formula1>0</x:formula1>
      <x:formula2>2</x:formula2>
    </x:dataValidation>
  </x:dataValidations>
  <x:printOptions horizontalCentered="0" verticalCentered="0" gridLines="0" headings="0"/>
  <x:pageMargins left="0.3" right="0.3" top="0.5" bottom="0.5" header="0.2" footer="0.2"/>
  <x:pageSetup paperSize="9" orientation="landscape" fitToWidth="2" fitToHeight="0" blackAndWhite="0" draft="0"/>
  <x:headerFooter>
    <x:oddFooter>&amp;L行知旅伴 V2.3&amp;R第 &amp;P / &amp;N 页</x:oddFooter>
  </x:headerFooter>
  <x:legacyDrawing xmlns:r="http://schemas.openxmlformats.org/officeDocument/2006/relationships" r:id="R12fff8a0d86947eb"/>
</x:worksheet>
</file>

<file path=xl/worksheets/sheet3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4" topLeftCell="A5" activePane="bottomLeft" state="frozen"/>
      <x:selection pane="bottomLeft" activeCell="A5" sqref="A5"/>
    </x:sheetView>
  </x:sheetViews>
  <x:sheetFormatPr defaultColWidth="9" defaultRowHeight="14.25"/>
  <x:cols>
    <x:col min="1" max="1" width="15" customWidth="1"/>
    <x:col min="2" max="2" width="12" customWidth="1"/>
    <x:col min="3" max="3" width="32" customWidth="1"/>
    <x:col min="4" max="4" width="12" customWidth="1"/>
    <x:col min="5" max="5" width="10" customWidth="1"/>
    <x:col min="6" max="8" width="11" customWidth="1"/>
    <x:col min="9" max="9" width="15" customWidth="1"/>
    <x:col min="10" max="10" width="30" customWidth="1"/>
    <x:col min="11" max="16" width="11" customWidth="1"/>
  </x:cols>
  <x:sheetData>
    <x:row r="1" ht="30" customHeight="1">
      <x:c r="A1" s="44" t="str">
        <x:v>Sprint 2 · LLM 混合架构容量、燃尽与 Review 门禁</x:v>
      </x:c>
      <x:c r="B1" s="44" t="s">
        <x:v>33</x:v>
      </x:c>
      <x:c r="C1" s="44" t="s">
        <x:v>33</x:v>
      </x:c>
      <x:c r="D1" s="44" t="s">
        <x:v>33</x:v>
      </x:c>
      <x:c r="E1" s="44" t="s">
        <x:v>33</x:v>
      </x:c>
      <x:c r="F1" s="44" t="s">
        <x:v>33</x:v>
      </x:c>
      <x:c r="G1" s="44" t="s">
        <x:v>33</x:v>
      </x:c>
      <x:c r="H1" s="44" t="s">
        <x:v>33</x:v>
      </x:c>
      <x:c r="I1" s="44" t="s">
        <x:v>33</x:v>
      </x:c>
      <x:c r="J1" s="44" t="s">
        <x:v>33</x:v>
      </x:c>
      <x:c r="K1" s="44" t="s">
        <x:v>33</x:v>
      </x:c>
      <x:c r="L1" s="44" t="s">
        <x:v>33</x:v>
      </x:c>
      <x:c r="M1" s="44" t="s">
        <x:v>33</x:v>
      </x:c>
      <x:c r="N1" s="44" t="s">
        <x:v>33</x:v>
      </x:c>
      <x:c r="O1" s="44" t="s">
        <x:v>33</x:v>
      </x:c>
      <x:c r="P1" s="44" t="s">
        <x:v>33</x:v>
      </x:c>
    </x:row>
    <x:row r="2" ht="24" customHeight="1">
      <x:c r="A2" s="45" t="str">
        <x:v>Sprint Goal：用 LLM 理解/提议，用程序确认/计算/裁决；90 秒进入唯一公平方案，并接通现实执行证据。</x:v>
      </x:c>
      <x:c r="B2" s="45" t="s">
        <x:v>34</x:v>
      </x:c>
      <x:c r="C2" s="45" t="s">
        <x:v>34</x:v>
      </x:c>
      <x:c r="D2" s="45" t="s">
        <x:v>34</x:v>
      </x:c>
      <x:c r="E2" s="45" t="s">
        <x:v>34</x:v>
      </x:c>
      <x:c r="F2" s="45" t="s">
        <x:v>34</x:v>
      </x:c>
      <x:c r="G2" s="45" t="s">
        <x:v>34</x:v>
      </x:c>
      <x:c r="H2" s="45" t="s">
        <x:v>34</x:v>
      </x:c>
      <x:c r="I2" s="45" t="s">
        <x:v>34</x:v>
      </x:c>
      <x:c r="J2" s="45" t="s">
        <x:v>34</x:v>
      </x:c>
      <x:c r="K2" s="45" t="s">
        <x:v>34</x:v>
      </x:c>
      <x:c r="L2" s="45" t="s">
        <x:v>34</x:v>
      </x:c>
      <x:c r="M2" s="45" t="s">
        <x:v>34</x:v>
      </x:c>
      <x:c r="N2" s="45" t="s">
        <x:v>34</x:v>
      </x:c>
      <x:c r="O2" s="45" t="s">
        <x:v>34</x:v>
      </x:c>
      <x:c r="P2" s="45" t="s">
        <x:v>34</x:v>
      </x:c>
    </x:row>
    <x:row r="3" ht="24" customHeight="1">
      <x:c r="A3" s="46" t="str">
        <x:v>实际剩余工时列初始化为计划基线；每日站会只更新黄色输入格。Day3 不新增常规开发，只做联调、48 条 UAT、Review、彩排与关键缺陷修复。</x:v>
      </x:c>
      <x:c r="B3" s="46" t="s">
        <x:v>35</x:v>
      </x:c>
      <x:c r="C3" s="46" t="s">
        <x:v>35</x:v>
      </x:c>
      <x:c r="D3" s="46" t="s">
        <x:v>35</x:v>
      </x:c>
      <x:c r="E3" s="46" t="s">
        <x:v>35</x:v>
      </x:c>
      <x:c r="F3" s="46" t="s">
        <x:v>35</x:v>
      </x:c>
      <x:c r="G3" s="46" t="s">
        <x:v>35</x:v>
      </x:c>
      <x:c r="H3" s="46" t="s">
        <x:v>35</x:v>
      </x:c>
      <x:c r="I3" s="46" t="s">
        <x:v>35</x:v>
      </x:c>
      <x:c r="J3" s="46" t="s">
        <x:v>35</x:v>
      </x:c>
      <x:c r="K3" s="46" t="s">
        <x:v>35</x:v>
      </x:c>
      <x:c r="L3" s="46" t="s">
        <x:v>35</x:v>
      </x:c>
      <x:c r="M3" s="46" t="s">
        <x:v>35</x:v>
      </x:c>
      <x:c r="N3" s="46" t="s">
        <x:v>35</x:v>
      </x:c>
      <x:c r="O3" s="46" t="s">
        <x:v>35</x:v>
      </x:c>
      <x:c r="P3" s="46" t="s">
        <x:v>35</x:v>
      </x:c>
    </x:row>
    <x:row r="4" ht="24" customHeight="1">
      <x:c r="A4" s="7" t="s">
        <x:v>36</x:v>
      </x:c>
      <x:c r="B4" s="7" t="s">
        <x:v>37</x:v>
      </x:c>
      <x:c r="C4" s="47" t="s">
        <x:v>38</x:v>
      </x:c>
      <x:c r="D4" s="47" t="s">
        <x:v>39</x:v>
      </x:c>
      <x:c r="E4" s="47" t="s">
        <x:v>39</x:v>
      </x:c>
      <x:c r="F4" s="47" t="s">
        <x:v>39</x:v>
      </x:c>
      <x:c r="G4" s="47" t="s">
        <x:v>39</x:v>
      </x:c>
      <x:c r="H4" s="47" t="s">
        <x:v>39</x:v>
      </x:c>
      <x:c r="I4" s="47" t="s">
        <x:v>39</x:v>
      </x:c>
      <x:c r="J4" s="47" t="s">
        <x:v>39</x:v>
      </x:c>
      <x:c r="K4" s="47" t="s">
        <x:v>39</x:v>
      </x:c>
      <x:c r="L4" s="47" t="s">
        <x:v>39</x:v>
      </x:c>
      <x:c r="M4" s="47" t="s">
        <x:v>39</x:v>
      </x:c>
      <x:c r="N4" s="47" t="s">
        <x:v>39</x:v>
      </x:c>
      <x:c r="O4" s="47" t="s">
        <x:v>39</x:v>
      </x:c>
      <x:c r="P4" s="47" t="s">
        <x:v>39</x:v>
      </x:c>
    </x:row>
    <x:row r="6" ht="16.5">
      <x:c r="A6" s="1" t="s">
        <x:v>40</x:v>
      </x:c>
      <x:c r="B6" s="1" t="s">
        <x:v>41</x:v>
      </x:c>
      <x:c r="C6" s="1" t="s">
        <x:v>42</x:v>
      </x:c>
    </x:row>
    <x:row r="7" ht="18">
      <x:c r="A7" s="3" t="s">
        <x:v>43</x:v>
      </x:c>
      <x:c r="B7" s="8" t="n">
        <x:f>SUM('SprintBacklog模板'!$H$5:$H$28)</x:f>
        <x:v>48</x:v>
      </x:c>
      <x:c r="C7" s="3" t="s">
        <x:v>44</x:v>
      </x:c>
    </x:row>
    <x:row r="8" ht="18">
      <x:c r="A8" s="3" t="s">
        <x:v>45</x:v>
      </x:c>
      <x:c r="B8" s="8" t="n">
        <x:f>COUNTA('SprintBacklog模板'!$A$5:$A$28)</x:f>
        <x:v>24</x:v>
      </x:c>
      <x:c r="C8" s="3" t="s">
        <x:v>46</x:v>
      </x:c>
    </x:row>
    <x:row r="9" ht="18">
      <x:c r="A9" s="3" t="str">
        <x:v>Sprint2 PBI 数</x:v>
      </x:c>
      <x:c r="B9" s="8" t="n">
        <x:f>COUNTA('PBI追溯'!$A$6:$A$13)</x:f>
        <x:v>8</x:v>
      </x:c>
      <x:c r="C9" s="3" t="str">
        <x:v>必须 = 8 条</x:v>
      </x:c>
    </x:row>
    <x:row r="10" ht="28.5">
      <x:c r="A10" s="3" t="s">
        <x:v>47</x:v>
      </x:c>
      <x:c r="B10" s="8">
        <x:v>0</x:v>
      </x:c>
      <x:c r="C10" s="3" t="s">
        <x:v>48</x:v>
      </x:c>
    </x:row>
    <x:row r="13" ht="27.950000762939453" customHeight="1">
      <x:c r="A13" s="1" t="s">
        <x:v>49</x:v>
      </x:c>
      <x:c r="B13" s="1" t="s">
        <x:v>50</x:v>
      </x:c>
      <x:c r="C13" s="1" t="s">
        <x:v>45</x:v>
      </x:c>
      <x:c r="D13" s="1" t="s">
        <x:v>51</x:v>
      </x:c>
      <x:c r="E13" s="1" t="s">
        <x:v>52</x:v>
      </x:c>
      <x:c r="F13" s="1" t="s">
        <x:v>53</x:v>
      </x:c>
      <x:c r="G13" s="1" t="s">
        <x:v>54</x:v>
      </x:c>
      <x:c r="H13" s="1" t="s">
        <x:v>55</x:v>
      </x:c>
      <x:c r="I13" s="1" t="s">
        <x:v>56</x:v>
      </x:c>
      <x:c r="J13" s="1" t="s">
        <x:v>57</x:v>
      </x:c>
    </x:row>
    <x:row r="14" ht="27.950000762939453" customHeight="1">
      <x:c r="A14" s="2" t="s">
        <x:v>58</x:v>
      </x:c>
      <x:c r="B14" s="2">
        <x:v>12</x:v>
      </x:c>
      <x:c r="C14" s="2" t="n">
        <x:f>COUNTIF('SprintBacklog模板'!$K$5:$K$28,A14)</x:f>
        <x:v>6</x:v>
      </x:c>
      <x:c r="D14" s="2" t="n">
        <x:f>SUMIF('SprintBacklog模板'!$K$5:$K$28,A14,'SprintBacklog模板'!$H$5:$H$28)</x:f>
        <x:v>12</x:v>
      </x:c>
      <x:c r="E14" s="2" t="n">
        <x:f>D14-B14</x:f>
        <x:v>0</x:v>
      </x:c>
      <x:c r="F14" s="2" t="n">
        <x:f>SUMIFS('SprintBacklog模板'!$H$5:$H$28,'SprintBacklog模板'!$K$5:$K$28,A14,'SprintBacklog模板'!$I$5:$I$28,"Day1")</x:f>
        <x:v>6</x:v>
      </x:c>
      <x:c r="G14" s="2" t="n">
        <x:f>SUMIFS('SprintBacklog模板'!$H$5:$H$28,'SprintBacklog模板'!$K$5:$K$28,A14,'SprintBacklog模板'!$I$5:$I$28,"Day2")</x:f>
        <x:v>6</x:v>
      </x:c>
      <x:c r="H14" s="2" t="str">
        <x:f>IF(E14=0,"平衡","需调整")</x:f>
        <x:v>平衡</x:v>
      </x:c>
      <x:c r="I14" s="3" t="s">
        <x:v>59</x:v>
      </x:c>
      <x:c r="J14" s="3" t="s">
        <x:v>60</x:v>
      </x:c>
    </x:row>
    <x:row r="15" ht="27.950000762939453" customHeight="1">
      <x:c r="A15" s="2" t="s">
        <x:v>61</x:v>
      </x:c>
      <x:c r="B15" s="2">
        <x:v>12</x:v>
      </x:c>
      <x:c r="C15" s="2" t="n">
        <x:f>COUNTIF('SprintBacklog模板'!$K$5:$K$28,A15)</x:f>
        <x:v>6</x:v>
      </x:c>
      <x:c r="D15" s="2" t="n">
        <x:f>SUMIF('SprintBacklog模板'!$K$5:$K$28,A15,'SprintBacklog模板'!$H$5:$H$28)</x:f>
        <x:v>12</x:v>
      </x:c>
      <x:c r="E15" s="2" t="n">
        <x:f>D15-B15</x:f>
        <x:v>0</x:v>
      </x:c>
      <x:c r="F15" s="2" t="n">
        <x:f>SUMIFS('SprintBacklog模板'!$H$5:$H$28,'SprintBacklog模板'!$K$5:$K$28,A15,'SprintBacklog模板'!$I$5:$I$28,"Day1")</x:f>
        <x:v>6</x:v>
      </x:c>
      <x:c r="G15" s="2" t="n">
        <x:f>SUMIFS('SprintBacklog模板'!$H$5:$H$28,'SprintBacklog模板'!$K$5:$K$28,A15,'SprintBacklog模板'!$I$5:$I$28,"Day2")</x:f>
        <x:v>6</x:v>
      </x:c>
      <x:c r="H15" s="2" t="str">
        <x:f>IF(E15=0,"平衡","需调整")</x:f>
        <x:v>平衡</x:v>
      </x:c>
      <x:c r="I15" s="3" t="s">
        <x:v>62</x:v>
      </x:c>
      <x:c r="J15" s="3" t="s">
        <x:v>63</x:v>
      </x:c>
    </x:row>
    <x:row r="16" ht="27.950000762939453" customHeight="1">
      <x:c r="A16" s="2" t="s">
        <x:v>64</x:v>
      </x:c>
      <x:c r="B16" s="2">
        <x:v>12</x:v>
      </x:c>
      <x:c r="C16" s="2" t="n">
        <x:f>COUNTIF('SprintBacklog模板'!$K$5:$K$28,A16)</x:f>
        <x:v>6</x:v>
      </x:c>
      <x:c r="D16" s="2" t="n">
        <x:f>SUMIF('SprintBacklog模板'!$K$5:$K$28,A16,'SprintBacklog模板'!$H$5:$H$28)</x:f>
        <x:v>12</x:v>
      </x:c>
      <x:c r="E16" s="2" t="n">
        <x:f>D16-B16</x:f>
        <x:v>0</x:v>
      </x:c>
      <x:c r="F16" s="2" t="n">
        <x:f>SUMIFS('SprintBacklog模板'!$H$5:$H$28,'SprintBacklog模板'!$K$5:$K$28,A16,'SprintBacklog模板'!$I$5:$I$28,"Day1")</x:f>
        <x:v>6</x:v>
      </x:c>
      <x:c r="G16" s="2" t="n">
        <x:f>SUMIFS('SprintBacklog模板'!$H$5:$H$28,'SprintBacklog模板'!$K$5:$K$28,A16,'SprintBacklog模板'!$I$5:$I$28,"Day2")</x:f>
        <x:v>6</x:v>
      </x:c>
      <x:c r="H16" s="2" t="str">
        <x:f>IF(E16=0,"平衡","需调整")</x:f>
        <x:v>平衡</x:v>
      </x:c>
      <x:c r="I16" s="3" t="s">
        <x:v>65</x:v>
      </x:c>
      <x:c r="J16" s="3" t="s">
        <x:v>66</x:v>
      </x:c>
    </x:row>
    <x:row r="17" ht="27.950000762939453" customHeight="1">
      <x:c r="A17" s="2" t="s">
        <x:v>67</x:v>
      </x:c>
      <x:c r="B17" s="2">
        <x:v>12</x:v>
      </x:c>
      <x:c r="C17" s="2" t="n">
        <x:f>COUNTIF('SprintBacklog模板'!$K$5:$K$28,A17)</x:f>
        <x:v>6</x:v>
      </x:c>
      <x:c r="D17" s="2" t="n">
        <x:f>SUMIF('SprintBacklog模板'!$K$5:$K$28,A17,'SprintBacklog模板'!$H$5:$H$28)</x:f>
        <x:v>12</x:v>
      </x:c>
      <x:c r="E17" s="2" t="n">
        <x:f>D17-B17</x:f>
        <x:v>0</x:v>
      </x:c>
      <x:c r="F17" s="2" t="n">
        <x:f>SUMIFS('SprintBacklog模板'!$H$5:$H$28,'SprintBacklog模板'!$K$5:$K$28,A17,'SprintBacklog模板'!$I$5:$I$28,"Day1")</x:f>
        <x:v>6</x:v>
      </x:c>
      <x:c r="G17" s="2" t="n">
        <x:f>SUMIFS('SprintBacklog模板'!$H$5:$H$28,'SprintBacklog模板'!$K$5:$K$28,A17,'SprintBacklog模板'!$I$5:$I$28,"Day2")</x:f>
        <x:v>6</x:v>
      </x:c>
      <x:c r="H17" s="2" t="str">
        <x:f>IF(E17=0,"平衡","需调整")</x:f>
        <x:v>平衡</x:v>
      </x:c>
      <x:c r="I17" s="3" t="s">
        <x:v>65</x:v>
      </x:c>
      <x:c r="J17" s="3" t="s">
        <x:v>68</x:v>
      </x:c>
    </x:row>
    <x:row r="18" ht="27.950000762939453" customHeight="1">
      <x:c r="A18" s="9" t="s">
        <x:v>69</x:v>
      </x:c>
      <x:c r="B18" s="9" t="n">
        <x:f t="shared" ref="B18:G18" si="0">SUM(B14:B17)</x:f>
        <x:v>48</x:v>
      </x:c>
      <x:c r="C18" s="9" t="n">
        <x:f t="shared" si="0">SUM(C14:C17)</x:f>
        <x:v>24</x:v>
      </x:c>
      <x:c r="D18" s="9" t="n">
        <x:f t="shared" si="0">SUM(D14:D17)</x:f>
        <x:v>48</x:v>
      </x:c>
      <x:c r="E18" s="9" t="n">
        <x:f t="shared" si="0">SUM(E14:E17)</x:f>
        <x:v>0</x:v>
      </x:c>
      <x:c r="F18" s="9" t="n">
        <x:f t="shared" si="0">SUM(F14:F17)</x:f>
        <x:v>24</x:v>
      </x:c>
      <x:c r="G18" s="9" t="n">
        <x:f t="shared" si="0">SUM(G14:G17)</x:f>
        <x:v>24</x:v>
      </x:c>
      <x:c r="H18" s="9" t="str">
        <x:f>IF(E18=0,"平衡","需调整")</x:f>
        <x:v>平衡</x:v>
      </x:c>
      <x:c r="I18" s="10" t="s">
        <x:v>70</x:v>
      </x:c>
      <x:c r="J18" s="10" t="s">
        <x:v>71</x:v>
      </x:c>
    </x:row>
    <x:row r="21" ht="16.5">
      <x:c r="A21" s="11" t="s">
        <x:v>72</x:v>
      </x:c>
      <x:c r="B21" s="11" t="s">
        <x:v>73</x:v>
      </x:c>
      <x:c r="C21" s="11" t="s">
        <x:v>74</x:v>
      </x:c>
      <x:c r="D21" s="11" t="s">
        <x:v>52</x:v>
      </x:c>
      <x:c r="E21" s="11" t="s">
        <x:v>75</x:v>
      </x:c>
      <x:c r="F21" s="11" t="s">
        <x:v>76</x:v>
      </x:c>
      <x:c r="G21" s="11" t="s">
        <x:v>77</x:v>
      </x:c>
    </x:row>
    <x:row r="22">
      <x:c r="A22" s="12" t="s">
        <x:v>78</x:v>
      </x:c>
      <x:c r="B22" s="13">
        <x:v>48</x:v>
      </x:c>
      <x:c r="C22" s="13">
        <x:v>48</x:v>
      </x:c>
      <x:c r="D22" s="13" t="n">
        <x:f>C22-B22</x:f>
        <x:v>0</x:v>
      </x:c>
      <x:c r="E22" s="14" t="n">
        <x:f>1-B22/$B$22</x:f>
        <x:v>0</x:v>
      </x:c>
      <x:c r="F22" s="14" t="n">
        <x:f>1-C22/$C$22</x:f>
        <x:v>0</x:v>
      </x:c>
      <x:c r="G22" s="15" t="str">
        <x:f>IF($B$4="计划基线","基线",IF(C22=0,"完成",IF(D22&lt;=0,"正常","偏离")))</x:f>
        <x:v>基线</x:v>
      </x:c>
    </x:row>
    <x:row r="23">
      <x:c r="A23" s="12" t="s">
        <x:v>79</x:v>
      </x:c>
      <x:c r="B23" s="13" t="n">
        <x:f>SUM('SprintBacklog模板'!$P$5:$P$28)</x:f>
        <x:v>24</x:v>
      </x:c>
      <x:c r="C23" s="13" t="n">
        <x:f>SUM('SprintBacklog模板'!$Q$5:$Q$28)</x:f>
        <x:v>24</x:v>
      </x:c>
      <x:c r="D23" s="13" t="n">
        <x:f>C23-B23</x:f>
        <x:v>0</x:v>
      </x:c>
      <x:c r="E23" s="14" t="n">
        <x:f>1-B23/$B$22</x:f>
        <x:v>0.5</x:v>
      </x:c>
      <x:c r="F23" s="14" t="n">
        <x:f>1-C23/$C$22</x:f>
        <x:v>0.5</x:v>
      </x:c>
      <x:c r="G23" s="15" t="str">
        <x:f>IF($B$4="计划基线","基线",IF(C23=0,"完成",IF(D23&lt;=0,"正常","偏离")))</x:f>
        <x:v>基线</x:v>
      </x:c>
    </x:row>
    <x:row r="24">
      <x:c r="A24" s="12" t="s">
        <x:v>80</x:v>
      </x:c>
      <x:c r="B24" s="13" t="n">
        <x:f>SUM('SprintBacklog模板'!$R$5:$R$28)</x:f>
        <x:v>0</x:v>
      </x:c>
      <x:c r="C24" s="13" t="n">
        <x:f>SUM('SprintBacklog模板'!$S$5:$S$28)</x:f>
        <x:v>0</x:v>
      </x:c>
      <x:c r="D24" s="13" t="n">
        <x:f>C24-B24</x:f>
        <x:v>0</x:v>
      </x:c>
      <x:c r="E24" s="14" t="n">
        <x:f>1-B24/$B$22</x:f>
        <x:v>1</x:v>
      </x:c>
      <x:c r="F24" s="14" t="n">
        <x:f>1-C24/$C$22</x:f>
        <x:v>1</x:v>
      </x:c>
      <x:c r="G24" s="15" t="str">
        <x:f>IF($B$4="计划基线","基线",IF(C24=0,"完成",IF(D24&lt;=0,"正常","偏离")))</x:f>
        <x:v>基线</x:v>
      </x:c>
    </x:row>
    <x:row r="25">
      <x:c r="A25" s="12" t="s">
        <x:v>81</x:v>
      </x:c>
      <x:c r="B25" s="13" t="n">
        <x:f>SUM('SprintBacklog模板'!$T$5:$T$28)</x:f>
        <x:v>0</x:v>
      </x:c>
      <x:c r="C25" s="13" t="n">
        <x:f>SUM('SprintBacklog模板'!$U$5:$U$28)</x:f>
        <x:v>0</x:v>
      </x:c>
      <x:c r="D25" s="13" t="n">
        <x:f>C25-B25</x:f>
        <x:v>0</x:v>
      </x:c>
      <x:c r="E25" s="14" t="n">
        <x:f>1-B25/$B$22</x:f>
        <x:v>1</x:v>
      </x:c>
      <x:c r="F25" s="14" t="n">
        <x:f>1-C25/$C$22</x:f>
        <x:v>1</x:v>
      </x:c>
      <x:c r="G25" s="15" t="str">
        <x:f>IF($B$4="计划基线","基线",IF(C25=0,"完成",IF(D25&lt;=0,"正常","偏离")))</x:f>
        <x:v>基线</x:v>
      </x:c>
    </x:row>
    <x:row r="29" ht="33.95000076293945" customHeight="1">
      <x:c r="A29" s="16" t="s">
        <x:v>82</x:v>
      </x:c>
      <x:c r="B29" s="16" t="s">
        <x:v>83</x:v>
      </x:c>
      <x:c r="C29" s="16" t="s">
        <x:v>84</x:v>
      </x:c>
      <x:c r="D29" s="16" t="s">
        <x:v>85</x:v>
      </x:c>
    </x:row>
    <x:row r="30" ht="33.95000076293945" customHeight="1">
      <x:c r="A30" s="3" t="str">
        <x:v>Sprint Review 与 Goal 门禁</x:v>
      </x:c>
      <x:c r="B30" s="3" t="str">
        <x:v>全员</x:v>
      </x:c>
      <x:c r="C30" s="3" t="str">
        <x:v>不预占常规开发容量</x:v>
      </x:c>
      <x:c r="D30" s="3" t="str">
        <x:v>90 秒规划+8—12 分钟完整链录屏</x:v>
      </x:c>
    </x:row>
    <x:row r="31" ht="33.95000076293945" customHeight="1">
      <x:c r="A31" s="3" t="str">
        <x:v>PO 验收</x:v>
      </x:c>
      <x:c r="B31" s="3" t="str">
        <x:v>陈梓元兼任 PO；非作者参与</x:v>
      </x:c>
      <x:c r="C31" s="3" t="str">
        <x:v>验收 8 条 PBI/AC，不形成固定技术岗位</x:v>
      </x:c>
      <x:c r="D31" s="3" t="str">
        <x:v>48 条 UAT 状态与问题闭环</x:v>
      </x:c>
    </x:row>
    <x:row r="32" ht="33.95000076293945" customHeight="1">
      <x:c r="A32" s="3" t="str">
        <x:v>QA 验收</x:v>
      </x:c>
      <x:c r="B32" s="3" t="str">
        <x:v>张琪/林粲涵兼任 QA；全员可补位</x:v>
      </x:c>
      <x:c r="C32" s="3" t="str">
        <x:v>LLM 降级/事实信任/公平/GPS/照片/版本/移动端</x:v>
      </x:c>
      <x:c r="D32" s="3" t="str">
        <x:v>测试记录与缺陷清单</x:v>
      </x:c>
    </x:row>
    <x:row r="33" ht="33.95000076293945" customHeight="1">
      <x:c r="A33" s="3" t="str">
        <x:v>演示与彩排</x:v>
      </x:c>
      <x:c r="B33" s="3" t="str">
        <x:v>王敬博协调；全员执行</x:v>
      </x:c>
      <x:c r="C33" s="3" t="str">
        <x:v>对话→候选→唯一推荐→执行→V2→回忆</x:v>
      </x:c>
      <x:c r="D33" s="3" t="str">
        <x:v>桌面/375px 演示脚本</x:v>
      </x:c>
    </x:row>
    <x:row r="34" ht="33.95000076293945" customHeight="1">
      <x:c r="A34" s="3" t="str">
        <x:v>关键缺陷修复</x:v>
      </x:c>
      <x:c r="B34" s="3" t="str">
        <x:v>按风险与可用性动态指派</x:v>
      </x:c>
      <x:c r="C34" s="3" t="str">
        <x:v>仅 P0/P1；不扩充新功能</x:v>
      </x:c>
      <x:c r="D34" s="3" t="str">
        <x:v>修复 PR、回归与 PO 复验</x:v>
      </x:c>
    </x:row>
    <x:row r="36" ht="30" customHeight="1">
      <x:c r="A36" s="48" t="s">
        <x:v>86</x:v>
      </x:c>
      <x:c r="B36" s="49" t="s">
        <x:v>87</x:v>
      </x:c>
      <x:c r="C36" s="49" t="s">
        <x:v>87</x:v>
      </x:c>
      <x:c r="D36" s="49" t="s">
        <x:v>87</x:v>
      </x:c>
      <x:c r="E36" s="49" t="s">
        <x:v>87</x:v>
      </x:c>
      <x:c r="F36" s="49" t="s">
        <x:v>87</x:v>
      </x:c>
      <x:c r="G36" s="49" t="s">
        <x:v>87</x:v>
      </x:c>
      <x:c r="H36" s="49" t="s">
        <x:v>87</x:v>
      </x:c>
      <x:c r="I36" s="49" t="s">
        <x:v>87</x:v>
      </x:c>
      <x:c r="J36" s="49" t="s">
        <x:v>87</x:v>
      </x:c>
      <x:c r="K36" s="49" t="s">
        <x:v>87</x:v>
      </x:c>
      <x:c r="L36" s="49" t="s">
        <x:v>87</x:v>
      </x:c>
      <x:c r="M36" s="49" t="s">
        <x:v>87</x:v>
      </x:c>
      <x:c r="N36" s="49" t="s">
        <x:v>87</x:v>
      </x:c>
      <x:c r="O36" s="49" t="s">
        <x:v>87</x:v>
      </x:c>
      <x:c r="P36" s="50" t="s">
        <x:v>87</x:v>
      </x:c>
    </x:row>
    <x:row r="37" ht="30" customHeight="1">
      <x:c r="A37" s="51" t="str">
        <x:v>协作规则：四人均为开发者并兼任 PO/SM/QA；任务主责只表示首要推进责任。PR 从非作者中按当次 Schema、事实信任、金额、公平、状态机、关怀、媒体、可用性或部署风险临时指定，不设固定搭档。</x:v>
      </x:c>
      <x:c r="B37" s="52" t="s">
        <x:v>87</x:v>
      </x:c>
      <x:c r="C37" s="52" t="s">
        <x:v>87</x:v>
      </x:c>
      <x:c r="D37" s="52" t="s">
        <x:v>87</x:v>
      </x:c>
      <x:c r="E37" s="52" t="s">
        <x:v>87</x:v>
      </x:c>
      <x:c r="F37" s="52" t="s">
        <x:v>87</x:v>
      </x:c>
      <x:c r="G37" s="52" t="s">
        <x:v>87</x:v>
      </x:c>
      <x:c r="H37" s="52" t="s">
        <x:v>87</x:v>
      </x:c>
      <x:c r="I37" s="52" t="s">
        <x:v>87</x:v>
      </x:c>
      <x:c r="J37" s="52" t="s">
        <x:v>87</x:v>
      </x:c>
      <x:c r="K37" s="52" t="s">
        <x:v>87</x:v>
      </x:c>
      <x:c r="L37" s="52" t="s">
        <x:v>87</x:v>
      </x:c>
      <x:c r="M37" s="52" t="s">
        <x:v>87</x:v>
      </x:c>
      <x:c r="N37" s="52" t="s">
        <x:v>87</x:v>
      </x:c>
      <x:c r="O37" s="52" t="s">
        <x:v>87</x:v>
      </x:c>
      <x:c r="P37" s="53" t="s">
        <x:v>87</x:v>
      </x:c>
    </x:row>
  </x:sheetData>
  <x:mergeCells>
    <x:mergeCell ref="A1:P1"/>
    <x:mergeCell ref="A2:P2"/>
    <x:mergeCell ref="A3:P3"/>
    <x:mergeCell ref="C4:P4"/>
    <x:mergeCell ref="A36:P37"/>
  </x:mergeCells>
  <x:conditionalFormatting sqref="G22:G25">
    <x:cfRule type="containsText" dxfId="5" priority="3" operator="containsText" text="正常">
      <x:formula>NOT(ISERROR(SEARCH("正常",G22)))</x:formula>
    </x:cfRule>
    <x:cfRule type="containsText" dxfId="4" priority="4" operator="containsText" text="偏离">
      <x:formula>NOT(ISERROR(SEARCH("偏离",G22)))</x:formula>
    </x:cfRule>
  </x:conditionalFormatting>
  <x:conditionalFormatting sqref="H14:H18">
    <x:cfRule type="containsText" dxfId="3" priority="1" operator="containsText" text="平衡">
      <x:formula>NOT(ISERROR(SEARCH("平衡",H14)))</x:formula>
    </x:cfRule>
    <x:cfRule type="containsText" dxfId="2" priority="2" operator="containsText" text="需调整">
      <x:formula>NOT(ISERROR(SEARCH("需调整",H14)))</x:formula>
    </x:cfRule>
  </x:conditionalFormatting>
  <x:dataValidations count="1">
    <x:dataValidation type="list" sqref="B4">
      <x:formula1>"计划基线,执行中,已结束"</x:formula1>
    </x:dataValidation>
  </x:dataValidations>
  <x:printOptions horizontalCentered="0" verticalCentered="0" gridLines="0" headings="0"/>
  <x:pageMargins left="0.3" right="0.3" top="0.5" bottom="0.5" header="0.2" footer="0.2"/>
  <x:pageSetup paperSize="9" orientation="landscape" fitToWidth="1" fitToHeight="1" blackAndWhite="0" draft="0"/>
  <x:headerFooter>
    <x:oddFooter>&amp;L行知旅伴 V2.3&amp;R第 &amp;P / &amp;N 页</x:oddFooter>
  </x:headerFooter>
  <x:drawing xmlns:r="http://schemas.openxmlformats.org/officeDocument/2006/relationships" r:id="Rb72e7dabf15a4faa"/>
</x:worksheet>
</file>

<file path=xl/worksheets/sheet4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5" topLeftCell="A6" activePane="bottomLeft" state="frozen"/>
      <x:selection pane="bottomLeft" activeCell="A6" sqref="A6"/>
    </x:sheetView>
  </x:sheetViews>
  <x:sheetFormatPr defaultColWidth="9" defaultRowHeight="14.25"/>
  <x:cols>
    <x:col min="1" max="2" width="13" customWidth="1"/>
    <x:col min="3" max="3" width="28" customWidth="1"/>
    <x:col min="4" max="4" width="20" customWidth="1"/>
    <x:col min="5" max="5" width="9" customWidth="1"/>
    <x:col min="6" max="6" width="68" customWidth="1"/>
    <x:col min="7" max="7" width="9" customWidth="1"/>
    <x:col min="8" max="9" width="10" customWidth="1"/>
    <x:col min="10" max="10" width="22" customWidth="1"/>
  </x:cols>
  <x:sheetData>
    <x:row r="1" ht="25.5">
      <x:c r="A1" s="44" t="str">
        <x:v>Sprint 2 · LLM 混合架构 PBI / AC / Task / 证据追溯</x:v>
      </x:c>
      <x:c r="B1" s="44" t="s">
        <x:v>88</x:v>
      </x:c>
      <x:c r="C1" s="44" t="s">
        <x:v>88</x:v>
      </x:c>
      <x:c r="D1" s="44" t="s">
        <x:v>88</x:v>
      </x:c>
      <x:c r="E1" s="44" t="s">
        <x:v>88</x:v>
      </x:c>
      <x:c r="F1" s="44" t="s">
        <x:v>88</x:v>
      </x:c>
      <x:c r="G1" s="44" t="s">
        <x:v>88</x:v>
      </x:c>
      <x:c r="H1" s="44" t="s">
        <x:v>88</x:v>
      </x:c>
      <x:c r="I1" s="44" t="s">
        <x:v>88</x:v>
      </x:c>
      <x:c r="J1" s="44" t="s">
        <x:v>88</x:v>
      </x:c>
    </x:row>
    <x:row r="2" ht="15">
      <x:c r="A2" s="45" t="str">
        <x:v>Sprint Goal：用对话式 LLM 理解需求并辅助选择真实候选，同时由确定性程序守住确认、计算和裁决。</x:v>
      </x:c>
      <x:c r="B2" s="45" t="s">
        <x:v>34</x:v>
      </x:c>
      <x:c r="C2" s="45" t="s">
        <x:v>34</x:v>
      </x:c>
      <x:c r="D2" s="45" t="s">
        <x:v>34</x:v>
      </x:c>
      <x:c r="E2" s="45" t="s">
        <x:v>34</x:v>
      </x:c>
      <x:c r="F2" s="45" t="s">
        <x:v>34</x:v>
      </x:c>
      <x:c r="G2" s="45" t="s">
        <x:v>34</x:v>
      </x:c>
      <x:c r="H2" s="45" t="s">
        <x:v>34</x:v>
      </x:c>
      <x:c r="I2" s="45" t="s">
        <x:v>34</x:v>
      </x:c>
      <x:c r="J2" s="45" t="s">
        <x:v>34</x:v>
      </x:c>
    </x:row>
    <x:row r="3" ht="16.5">
      <x:c r="A3" s="46" t="str">
        <x:v>8 PBI / 36 SP / 24 Task / 48h 不变；T009 改由张琪执行、T018 改由王敬博执行，PBI 业务主责不变。</x:v>
      </x:c>
      <x:c r="B3" s="46" t="s">
        <x:v>89</x:v>
      </x:c>
      <x:c r="C3" s="46" t="s">
        <x:v>89</x:v>
      </x:c>
      <x:c r="D3" s="46" t="s">
        <x:v>89</x:v>
      </x:c>
      <x:c r="E3" s="46" t="s">
        <x:v>89</x:v>
      </x:c>
      <x:c r="F3" s="46" t="s">
        <x:v>89</x:v>
      </x:c>
      <x:c r="G3" s="46" t="s">
        <x:v>89</x:v>
      </x:c>
      <x:c r="H3" s="46" t="s">
        <x:v>89</x:v>
      </x:c>
      <x:c r="I3" s="46" t="s">
        <x:v>89</x:v>
      </x:c>
      <x:c r="J3" s="46" t="s">
        <x:v>89</x:v>
      </x:c>
    </x:row>
    <x:row r="5" ht="16.5">
      <x:c r="A5" s="1" t="s">
        <x:v>11</x:v>
      </x:c>
      <x:c r="B5" s="1" t="s">
        <x:v>12</x:v>
      </x:c>
      <x:c r="C5" s="1" t="s">
        <x:v>90</x:v>
      </x:c>
      <x:c r="D5" s="1" t="s">
        <x:v>91</x:v>
      </x:c>
      <x:c r="E5" s="1" t="s">
        <x:v>92</x:v>
      </x:c>
      <x:c r="F5" s="1" t="s">
        <x:v>93</x:v>
      </x:c>
      <x:c r="G5" s="1" t="s">
        <x:v>45</x:v>
      </x:c>
      <x:c r="H5" s="1" t="s">
        <x:v>94</x:v>
      </x:c>
      <x:c r="I5" s="1" t="s">
        <x:v>95</x:v>
      </x:c>
      <x:c r="J5" s="1" t="s">
        <x:v>96</x:v>
      </x:c>
    </x:row>
    <x:row r="6" ht="68.0999984741211" customHeight="1">
      <x:c r="A6" s="2" t="str">
        <x:v>PBI-07-A</x:v>
      </x:c>
      <x:c r="B6" s="2" t="str">
        <x:v>AC-07-A</x:v>
      </x:c>
      <x:c r="C6" s="2" t="str">
        <x:v>对话式 2—3 人成员卡、关怀确认与硬冲突</x:v>
      </x:c>
      <x:c r="D6" s="2" t="str">
        <x:v>陈梓元</x:v>
      </x:c>
      <x:c r="E6" s="2" t="n">
        <x:v>5</x:v>
      </x:c>
      <x:c r="F6" s="3" t="str">
        <x:v>自然语言先生成可确认草稿；程序校验 Trip/AssistanceProfile、确认状态与硬冲突；未确认或冲突未解决不进入规划；模型不得写 Constraint/正式状态。</x:v>
      </x:c>
      <x:c r="G6" s="2" t="n">
        <x:f>COUNTIF('SprintBacklog模板'!$B$5:$B$28,A6)</x:f>
        <x:v>4</x:v>
      </x:c>
      <x:c r="H6" s="2" t="n">
        <x:f>SUMIF('SprintBacklog模板'!$B$5:$B$28,A6,'SprintBacklog模板'!$H$5:$H$28)</x:f>
        <x:v>8</x:v>
      </x:c>
      <x:c r="I6" s="2" t="str">
        <x:f t="shared" ref="I6:I17" si="0">IF(G6&gt;0,"已覆盖","缺口")</x:f>
        <x:v>已覆盖</x:v>
      </x:c>
      <x:c r="J6" s="2" t="str">
        <x:v>产品Backlog!第 19 行</x:v>
      </x:c>
    </x:row>
    <x:row r="7" ht="68.0999984741211" customHeight="1">
      <x:c r="A7" s="2" t="str">
        <x:v>PBI-08-A</x:v>
      </x:c>
      <x:c r="B7" s="2" t="str">
        <x:v>AC-08-A</x:v>
      </x:c>
      <x:c r="C7" s="2" t="str">
        <x:v>Provider 候选、LLM 辅助选择与公平唯一推荐</x:v>
      </x:c>
      <x:c r="D7" s="2" t="str">
        <x:v>王敬博</x:v>
      </x:c>
      <x:c r="E7" s="2" t="n">
        <x:v>5</x:v>
      </x:c>
      <x:c r="F7" s="3" t="str">
        <x:v>模型只从服务端 Provider FactRef 白名单提议地点 ID/顺序/理由；程序计算每人 0—100 分并按 max-min→平均分→费用→绕路→稳定 ID 只输出一个 3—4 任务方案。</x:v>
      </x:c>
      <x:c r="G7" s="2" t="n">
        <x:f>COUNTIF('SprintBacklog模板'!$B$5:$B$28,A7)</x:f>
        <x:v>4</x:v>
      </x:c>
      <x:c r="H7" s="2" t="n">
        <x:f>SUMIF('SprintBacklog模板'!$B$5:$B$28,A7,'SprintBacklog模板'!$H$5:$H$28)</x:f>
        <x:v>8</x:v>
      </x:c>
      <x:c r="I7" s="2" t="str">
        <x:f t="shared" si="0">IF(G7&gt;0,"已覆盖","缺口")</x:f>
        <x:v>已覆盖</x:v>
      </x:c>
      <x:c r="J7" s="2" t="str">
        <x:v>产品Backlog!第 20 行</x:v>
      </x:c>
    </x:row>
    <x:row r="8" ht="68.0999984741211" customHeight="1">
      <x:c r="A8" s="2" t="str">
        <x:v>PBI-09-A</x:v>
      </x:c>
      <x:c r="B8" s="2" t="str">
        <x:v>AC-09-A</x:v>
      </x:c>
      <x:c r="C8" s="2" t="str">
        <x:v>一次性 GPS 到达辅助确认</x:v>
      </x:c>
      <x:c r="D8" s="2" t="str">
        <x:v>张琪</x:v>
      </x:c>
      <x:c r="E8" s="2" t="n">
        <x:v>5</x:v>
      </x:c>
      <x:c r="F8" s="3" t="str">
        <x:v>仅用户主动请求一次定位；满足阈值才自动判附近，过远/拒绝/超时/低精度人工确认；不持续追踪。</x:v>
      </x:c>
      <x:c r="G8" s="2" t="n">
        <x:f>COUNTIF('SprintBacklog模板'!$B$5:$B$28,A8)</x:f>
        <x:v>4</x:v>
      </x:c>
      <x:c r="H8" s="2" t="n">
        <x:f>SUMIF('SprintBacklog模板'!$B$5:$B$28,A8,'SprintBacklog模板'!$H$5:$H$28)</x:f>
        <x:v>8</x:v>
      </x:c>
      <x:c r="I8" s="2" t="str">
        <x:f t="shared" si="0">IF(G8&gt;0,"已覆盖","缺口")</x:f>
        <x:v>已覆盖</x:v>
      </x:c>
      <x:c r="J8" s="2" t="str">
        <x:v>产品Backlog!第 21 行</x:v>
      </x:c>
    </x:row>
    <x:row r="9" ht="68.0999984741211" customHeight="1">
      <x:c r="A9" s="2" t="str">
        <x:v>PBI-10-A</x:v>
      </x:c>
      <x:c r="B9" s="2" t="str">
        <x:v>AC-10-A</x:v>
      </x:c>
      <x:c r="C9" s="2" t="str">
        <x:v>任务照片与媒体管理</x:v>
      </x:c>
      <x:c r="D9" s="2" t="str">
        <x:v>王敬博</x:v>
      </x:c>
      <x:c r="E9" s="2" t="n">
        <x:v>5</x:v>
      </x:c>
      <x:c r="F9" s="3" t="str">
        <x:v>上传前压缩至 1.5MB 以下并去 EXIF；每站 1 张、全程 8 张；可预览/替换/删除；失败与 0 张不阻断。</x:v>
      </x:c>
      <x:c r="G9" s="2" t="n">
        <x:f>COUNTIF('SprintBacklog模板'!$B$5:$B$28,A9)</x:f>
        <x:v>2</x:v>
      </x:c>
      <x:c r="H9" s="2" t="n">
        <x:f>SUMIF('SprintBacklog模板'!$B$5:$B$28,A9,'SprintBacklog模板'!$H$5:$H$28)</x:f>
        <x:v>4</x:v>
      </x:c>
      <x:c r="I9" s="2" t="str">
        <x:f t="shared" si="0">IF(G9&gt;0,"已覆盖","缺口")</x:f>
        <x:v>已覆盖</x:v>
      </x:c>
      <x:c r="J9" s="2" t="str">
        <x:v>产品Backlog!第 22 行</x:v>
      </x:c>
    </x:row>
    <x:row r="10" ht="68.0999984741211" customHeight="1">
      <x:c r="A10" s="2" t="str">
        <x:v>PBI-11-A</x:v>
      </x:c>
      <x:c r="B10" s="2" t="str">
        <x:v>AC-11-A</x:v>
      </x:c>
      <x:c r="C10" s="2" t="str">
        <x:v>多人复用执行与版本服务</x:v>
      </x:c>
      <x:c r="D10" s="2" t="str">
        <x:v>陈梓元</x:v>
      </x:c>
      <x:c r="E10" s="2" t="n">
        <x:v>3</x:v>
      </x:c>
      <x:c r="F10" s="3" t="str">
        <x:v>1/2/3 人复用同一 ExecutionEvent、PlanVersion、Diff 与回退；唯一 CURRENT 和接受/拒绝由程序状态机保证。</x:v>
      </x:c>
      <x:c r="G10" s="2" t="n">
        <x:f>COUNTIF('SprintBacklog模板'!$B$5:$B$28,A10)</x:f>
        <x:v>2</x:v>
      </x:c>
      <x:c r="H10" s="2" t="n">
        <x:f>SUMIF('SprintBacklog模板'!$B$5:$B$28,A10,'SprintBacklog模板'!$H$5:$H$28)</x:f>
        <x:v>4</x:v>
      </x:c>
      <x:c r="I10" s="2" t="str">
        <x:f t="shared" si="0">IF(G10&gt;0,"已覆盖","缺口")</x:f>
        <x:v>已覆盖</x:v>
      </x:c>
      <x:c r="J10" s="2" t="str">
        <x:v>产品Backlog!第 23 行</x:v>
      </x:c>
    </x:row>
    <x:row r="11" ht="68.0999984741211" customHeight="1">
      <x:c r="A11" s="2" t="str">
        <x:v>PBI-11-B</x:v>
      </x:c>
      <x:c r="B11" s="2" t="str">
        <x:v>AC-11-B</x:v>
      </x:c>
      <x:c r="C11" s="2" t="str">
        <x:v>迟到/疲劳对话与确定性重规划</x:v>
      </x:c>
      <x:c r="D11" s="2" t="str">
        <x:v>林粲涵</x:v>
      </x:c>
      <x:c r="E11" s="2" t="n">
        <x:v>5</x:v>
      </x:c>
      <x:c r="F11" s="3" t="str">
        <x:v>模型只把口语解析为事件草稿并解释；程序校验事件、转换约束、保留已完成/锁定任务并生成候选 V2；接受前不覆盖 CURRENT。</x:v>
      </x:c>
      <x:c r="G11" s="2" t="n">
        <x:f>COUNTIF('SprintBacklog模板'!$B$5:$B$28,A11)</x:f>
        <x:v>4</x:v>
      </x:c>
      <x:c r="H11" s="2" t="n">
        <x:f>SUMIF('SprintBacklog模板'!$B$5:$B$28,A11,'SprintBacklog模板'!$H$5:$H$28)</x:f>
        <x:v>8</x:v>
      </x:c>
      <x:c r="I11" s="2" t="str">
        <x:f t="shared" si="0">IF(G11&gt;0,"已覆盖","缺口")</x:f>
        <x:v>已覆盖</x:v>
      </x:c>
      <x:c r="J11" s="2" t="str">
        <x:v>产品Backlog!第 24 行</x:v>
      </x:c>
    </x:row>
    <x:row r="12" ht="68.0999984741211" customHeight="1">
      <x:c r="A12" s="2" t="str">
        <x:v>PBI-12-A</x:v>
      </x:c>
      <x:c r="B12" s="2" t="str">
        <x:v>AC-12-A</x:v>
      </x:c>
      <x:c r="C12" s="2" t="str">
        <x:v>旅行回忆页</x:v>
      </x:c>
      <x:c r="D12" s="2" t="str">
        <x:v>张琪</x:v>
      </x:c>
      <x:c r="E12" s="2" t="n">
        <x:v>5</x:v>
      </x:c>
      <x:c r="F12" s="3" t="str">
        <x:v>按实际事件顺序展示完成率、费用、版本、关怀和未删除照片；0 照片/无 V2 仍可总结。</x:v>
      </x:c>
      <x:c r="G12" s="2" t="n">
        <x:f>COUNTIF('SprintBacklog模板'!$B$5:$B$28,A12)</x:f>
        <x:v>2</x:v>
      </x:c>
      <x:c r="H12" s="2" t="n">
        <x:f>SUMIF('SprintBacklog模板'!$B$5:$B$28,A12,'SprintBacklog模板'!$H$5:$H$28)</x:f>
        <x:v>4</x:v>
      </x:c>
      <x:c r="I12" s="2" t="str">
        <x:f t="shared" si="0">IF(G12&gt;0,"已覆盖","缺口")</x:f>
        <x:v>已覆盖</x:v>
      </x:c>
      <x:c r="J12" s="2" t="str">
        <x:v>产品Backlog!第 25 行</x:v>
      </x:c>
    </x:row>
    <x:row r="13" ht="68.0999984741211" customHeight="1">
      <x:c r="A13" s="2" t="str">
        <x:v>PBI-13-S2</x:v>
      </x:c>
      <x:c r="B13" s="2" t="str">
        <x:v>AC-13-S2</x:v>
      </x:c>
      <x:c r="C13" s="2" t="str">
        <x:v>精简对话式界面、公网响应式与视觉系统</x:v>
      </x:c>
      <x:c r="D13" s="2" t="str">
        <x:v>林粲涵</x:v>
      </x:c>
      <x:c r="E13" s="2" t="n">
        <x:v>3</x:v>
      </x:c>
      <x:c r="F13" s="3" t="str">
        <x:v>单对话壳渐进披露；375px/768px 无横向滚动，主操作≥44px，加载/错误可见并支持 reduced-motion；90 秒规划主流程可计时演示。</x:v>
      </x:c>
      <x:c r="G13" s="2" t="n">
        <x:f>COUNTIF('SprintBacklog模板'!$B$5:$B$28,A13)</x:f>
        <x:v>2</x:v>
      </x:c>
      <x:c r="H13" s="2" t="n">
        <x:f>SUMIF('SprintBacklog模板'!$B$5:$B$28,A13,'SprintBacklog模板'!$H$5:$H$28)</x:f>
        <x:v>4</x:v>
      </x:c>
      <x:c r="I13" s="2" t="str">
        <x:f t="shared" si="0">IF(G13&gt;0,"已覆盖","缺口")</x:f>
        <x:v>已覆盖</x:v>
      </x:c>
      <x:c r="J13" s="2" t="str">
        <x:v>产品Backlog!第 26 行</x:v>
      </x:c>
    </x:row>
    <x:row r="14" ht="18" customHeight="1">
      <x:c r="A14" s="2"/>
      <x:c r="B14" s="2"/>
      <x:c r="C14" s="2"/>
      <x:c r="D14" s="2"/>
      <x:c r="E14" s="2"/>
      <x:c r="F14" s="3"/>
      <x:c r="G14" s="2"/>
      <x:c r="H14" s="2"/>
      <x:c r="I14" s="2">
        <x:f t="shared" si="0"/>
      </x:c>
      <x:c r="J14" s="2"/>
    </x:row>
    <x:row r="15" ht="18" customHeight="1">
      <x:c r="A15" s="2"/>
      <x:c r="B15" s="2"/>
      <x:c r="C15" s="2"/>
      <x:c r="D15" s="2"/>
      <x:c r="E15" s="2"/>
      <x:c r="F15" s="3"/>
      <x:c r="G15" s="2"/>
      <x:c r="H15" s="2"/>
      <x:c r="I15" s="2">
        <x:f t="shared" si="0"/>
      </x:c>
      <x:c r="J15" s="2"/>
    </x:row>
    <x:row r="16" ht="18" customHeight="1">
      <x:c r="A16" s="2"/>
      <x:c r="B16" s="2"/>
      <x:c r="C16" s="2"/>
      <x:c r="D16" s="2"/>
      <x:c r="E16" s="2"/>
      <x:c r="F16" s="3"/>
      <x:c r="G16" s="2"/>
      <x:c r="H16" s="2"/>
      <x:c r="I16" s="2">
        <x:f t="shared" si="0"/>
      </x:c>
      <x:c r="J16" s="2"/>
    </x:row>
    <x:row r="17" ht="18" customHeight="1">
      <x:c r="A17" s="2"/>
      <x:c r="B17" s="2"/>
      <x:c r="C17" s="2"/>
      <x:c r="D17" s="2"/>
      <x:c r="E17" s="2"/>
      <x:c r="F17" s="3"/>
      <x:c r="G17" s="2"/>
      <x:c r="H17" s="2"/>
      <x:c r="I17" s="2">
        <x:f t="shared" si="0"/>
      </x:c>
      <x:c r="J17" s="2"/>
    </x:row>
    <x:row r="18" ht="16.5">
      <x:c r="A18" s="4" t="str">
        <x:v>合计</x:v>
      </x:c>
      <x:c r="B18" s="4"/>
      <x:c r="C18" s="4" t="str">
        <x:v>8 条 Sprint2 PBI</x:v>
      </x:c>
      <x:c r="D18" s="4"/>
      <x:c r="E18" s="4" t="n">
        <x:f>SUM(E6:E13)</x:f>
        <x:v>36</x:v>
      </x:c>
      <x:c r="F18" s="5"/>
      <x:c r="G18" s="4" t="n">
        <x:f>SUM(G6:G13)</x:f>
        <x:v>24</x:v>
      </x:c>
      <x:c r="H18" s="4" t="n">
        <x:f>SUM(H6:H13)</x:f>
        <x:v>48</x:v>
      </x:c>
      <x:c r="I18" s="4" t="str">
        <x:f>IF(AND(G18=24,H18=48),"完整","检查")</x:f>
        <x:v>完整</x:v>
      </x:c>
      <x:c r="J18" s="4"/>
    </x:row>
    <x:row r="20" ht="15.75">
      <x:c r="A20" s="54" t="str">
        <x:v>明确保留到后续 Sprint / 候选池的内容（不得偷放入 Sprint2）</x:v>
      </x:c>
      <x:c r="B20" s="54" t="s">
        <x:v>97</x:v>
      </x:c>
      <x:c r="C20" s="54" t="s">
        <x:v>97</x:v>
      </x:c>
      <x:c r="D20" s="54" t="s">
        <x:v>97</x:v>
      </x:c>
      <x:c r="E20" s="54" t="s">
        <x:v>97</x:v>
      </x:c>
      <x:c r="F20" s="54" t="s">
        <x:v>97</x:v>
      </x:c>
      <x:c r="G20" s="54" t="s">
        <x:v>97</x:v>
      </x:c>
      <x:c r="H20" s="54" t="s">
        <x:v>97</x:v>
      </x:c>
      <x:c r="I20" s="54" t="s">
        <x:v>97</x:v>
      </x:c>
      <x:c r="J20" s="54" t="s">
        <x:v>97</x:v>
      </x:c>
    </x:row>
    <x:row r="21" ht="17.25">
      <x:c r="A21" s="6" t="s">
        <x:v>98</x:v>
      </x:c>
      <x:c r="B21" s="6" t="s">
        <x:v>11</x:v>
      </x:c>
      <x:c r="C21" s="6" t="s">
        <x:v>99</x:v>
      </x:c>
      <x:c r="D21" s="6" t="s">
        <x:v>100</x:v>
      </x:c>
    </x:row>
    <x:row r="22" ht="45" customHeight="1">
      <x:c r="A22" s="2" t="s">
        <x:v>101</x:v>
      </x:c>
      <x:c r="B22" s="2" t="s">
        <x:v>102</x:v>
      </x:c>
      <x:c r="C22" s="3" t="s">
        <x:v>103</x:v>
      </x:c>
      <x:c r="D22" s="3" t="s">
        <x:v>104</x:v>
      </x:c>
    </x:row>
    <x:row r="23" ht="45" customHeight="1">
      <x:c r="A23" s="2" t="s">
        <x:v>101</x:v>
      </x:c>
      <x:c r="B23" s="2" t="s">
        <x:v>105</x:v>
      </x:c>
      <x:c r="C23" s="3" t="s">
        <x:v>106</x:v>
      </x:c>
      <x:c r="D23" s="3" t="s">
        <x:v>107</x:v>
      </x:c>
    </x:row>
    <x:row r="24" ht="45" customHeight="1">
      <x:c r="A24" s="2" t="s">
        <x:v>101</x:v>
      </x:c>
      <x:c r="B24" s="2" t="s">
        <x:v>108</x:v>
      </x:c>
      <x:c r="C24" s="3" t="s">
        <x:v>109</x:v>
      </x:c>
      <x:c r="D24" s="3" t="s">
        <x:v>110</x:v>
      </x:c>
    </x:row>
    <x:row r="25" ht="45" customHeight="1">
      <x:c r="A25" s="2" t="s">
        <x:v>101</x:v>
      </x:c>
      <x:c r="B25" s="2" t="s">
        <x:v>111</x:v>
      </x:c>
      <x:c r="C25" s="3" t="s">
        <x:v>112</x:v>
      </x:c>
      <x:c r="D25" s="3" t="s">
        <x:v>113</x:v>
      </x:c>
    </x:row>
    <x:row r="26" ht="45" customHeight="1">
      <x:c r="A26" s="2" t="s">
        <x:v>101</x:v>
      </x:c>
      <x:c r="B26" s="2" t="s">
        <x:v>114</x:v>
      </x:c>
      <x:c r="C26" s="3" t="s">
        <x:v>115</x:v>
      </x:c>
      <x:c r="D26" s="3" t="s">
        <x:v>116</x:v>
      </x:c>
    </x:row>
    <x:row r="27" ht="45" customHeight="1">
      <x:c r="A27" s="2" t="s">
        <x:v>101</x:v>
      </x:c>
      <x:c r="B27" s="2" t="s">
        <x:v>117</x:v>
      </x:c>
      <x:c r="C27" s="3" t="s">
        <x:v>118</x:v>
      </x:c>
      <x:c r="D27" s="3" t="s">
        <x:v>119</x:v>
      </x:c>
    </x:row>
    <x:row r="28" ht="45" customHeight="1">
      <x:c r="A28" s="2" t="s">
        <x:v>101</x:v>
      </x:c>
      <x:c r="B28" s="2" t="s">
        <x:v>120</x:v>
      </x:c>
      <x:c r="C28" s="3" t="s">
        <x:v>121</x:v>
      </x:c>
      <x:c r="D28" s="3" t="s">
        <x:v>122</x:v>
      </x:c>
    </x:row>
    <x:row r="29" ht="45" customHeight="1">
      <x:c r="A29" s="2" t="s">
        <x:v>123</x:v>
      </x:c>
      <x:c r="B29" s="2" t="s">
        <x:v>124</x:v>
      </x:c>
      <x:c r="C29" s="3" t="s">
        <x:v>125</x:v>
      </x:c>
      <x:c r="D29" s="3" t="s">
        <x:v>126</x:v>
      </x:c>
    </x:row>
    <x:row r="30" ht="45" customHeight="1">
      <x:c r="A30" s="2" t="s">
        <x:v>123</x:v>
      </x:c>
      <x:c r="B30" s="2" t="s">
        <x:v>127</x:v>
      </x:c>
      <x:c r="C30" s="3" t="s">
        <x:v>128</x:v>
      </x:c>
      <x:c r="D30" s="3" t="s">
        <x:v>129</x:v>
      </x:c>
    </x:row>
    <x:row r="31" ht="45" customHeight="1">
      <x:c r="A31" s="2" t="s">
        <x:v>130</x:v>
      </x:c>
      <x:c r="B31" s="2" t="s">
        <x:v>131</x:v>
      </x:c>
      <x:c r="C31" s="3" t="s">
        <x:v>132</x:v>
      </x:c>
      <x:c r="D31" s="3" t="s">
        <x:v>133</x:v>
      </x:c>
    </x:row>
    <x:row r="32" ht="32.099998474121094" customHeight="1">
      <x:c r="A32" s="2"/>
      <x:c r="B32" s="2"/>
      <x:c r="C32" s="3"/>
      <x:c r="D32" s="3"/>
    </x:row>
    <x:row r="33" ht="32.099998474121094" customHeight="1">
      <x:c r="A33" s="2"/>
      <x:c r="B33" s="2"/>
      <x:c r="C33" s="3"/>
      <x:c r="D33" s="3"/>
    </x:row>
    <x:row r="34" ht="32.099998474121094" customHeight="1">
      <x:c r="A34" s="2"/>
      <x:c r="B34" s="2"/>
      <x:c r="C34" s="3"/>
      <x:c r="D34" s="3"/>
    </x:row>
    <x:row r="35" ht="32.099998474121094" customHeight="1">
      <x:c r="A35" s="2"/>
      <x:c r="B35" s="2"/>
      <x:c r="C35" s="3"/>
      <x:c r="D35" s="3"/>
    </x:row>
    <x:row r="36" ht="32.099998474121094" customHeight="1">
      <x:c r="A36" s="2"/>
      <x:c r="B36" s="2"/>
      <x:c r="C36" s="3"/>
      <x:c r="D36" s="3"/>
    </x:row>
    <x:row r="37" ht="32.099998474121094" customHeight="1">
      <x:c r="A37" s="2"/>
      <x:c r="B37" s="2"/>
      <x:c r="C37" s="3"/>
      <x:c r="D37" s="3"/>
    </x:row>
    <x:row r="38" ht="32.099998474121094" customHeight="1">
      <x:c r="A38" s="2"/>
      <x:c r="B38" s="2"/>
      <x:c r="C38" s="3"/>
      <x:c r="D38" s="3"/>
    </x:row>
    <x:row r="39" ht="32.099998474121094" customHeight="1">
      <x:c r="A39" s="2"/>
      <x:c r="B39" s="2"/>
      <x:c r="C39" s="3"/>
      <x:c r="D39" s="3"/>
    </x:row>
  </x:sheetData>
  <x:autoFilter ref="A5:J13"/>
  <x:mergeCells>
    <x:mergeCell ref="A1:J1"/>
    <x:mergeCell ref="A2:J2"/>
    <x:mergeCell ref="A3:J3"/>
    <x:mergeCell ref="A20:J20"/>
  </x:mergeCells>
  <x:conditionalFormatting sqref="I6:I17">
    <x:cfRule type="containsText" dxfId="1" priority="1" operator="containsText" text="已覆盖">
      <x:formula>NOT(ISERROR(SEARCH("已覆盖",I6)))</x:formula>
    </x:cfRule>
    <x:cfRule type="containsText" dxfId="0" priority="2" operator="containsText" text="缺口">
      <x:formula>NOT(ISERROR(SEARCH("缺口",I6)))</x:formula>
    </x:cfRule>
  </x:conditionalFormatting>
  <x:printOptions horizontalCentered="0" verticalCentered="0" gridLines="0" headings="0"/>
  <x:pageMargins left="0.3" right="0.3" top="0.5" bottom="0.5" header="0.2" footer="0.2"/>
  <x:pageSetup paperSize="9" orientation="landscape" fitToWidth="1" fitToHeight="0" blackAndWhite="0" draft="0"/>
  <x:headerFooter>
    <x:oddFooter>&amp;L行知旅伴 V2.3&amp;R第 &amp;P / &amp;N 页</x:oddFooter>
  </x:headerFooter>
</x:worksheet>
</file>

<file path=xl/worksheets/sheet5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5" topLeftCell="A6" activePane="bottomLeft" state="frozen"/>
      <x:selection pane="bottomLeft" activeCell="A6" sqref="A6"/>
    </x:sheetView>
  </x:sheetViews>
  <x:sheetFormatPr defaultRowHeight="15"/>
  <x:cols>
    <x:col min="1" max="1" width="18" hidden="0" customWidth="1"/>
    <x:col min="2" max="2" width="36" hidden="0" customWidth="1"/>
    <x:col min="3" max="3" width="44" hidden="0" customWidth="1"/>
    <x:col min="4" max="4" width="48" hidden="0" customWidth="1"/>
    <x:col min="5" max="5" width="35" hidden="0" customWidth="1"/>
    <x:col min="6" max="6" width="24" hidden="0" customWidth="1"/>
    <x:col min="7" max="7" width="18" hidden="0" customWidth="1"/>
    <x:col min="8" max="8" width="28" hidden="0" customWidth="1"/>
  </x:cols>
  <x:sheetData>
    <x:row r="1" ht="34" customHeight="1">
      <x:c r="A1" s="80" t="str">
        <x:v>行知旅伴 V2.3 · LLM 混合架构设计与最小改动清单</x:v>
      </x:c>
      <x:c r="B1" s="80" t="str">
        <x:v>行知旅伴 V2.3 · LLM 混合架构设计与最小改动清单</x:v>
      </x:c>
      <x:c r="C1" s="80" t="str">
        <x:v>行知旅伴 V2.3 · LLM 混合架构设计与最小改动清单</x:v>
      </x:c>
      <x:c r="D1" s="80" t="str">
        <x:v>行知旅伴 V2.3 · LLM 混合架构设计与最小改动清单</x:v>
      </x:c>
      <x:c r="E1" s="80" t="str">
        <x:v>行知旅伴 V2.3 · LLM 混合架构设计与最小改动清单</x:v>
      </x:c>
      <x:c r="F1" s="80" t="str">
        <x:v>行知旅伴 V2.3 · LLM 混合架构设计与最小改动清单</x:v>
      </x:c>
      <x:c r="G1" s="80" t="str">
        <x:v>行知旅伴 V2.3 · LLM 混合架构设计与最小改动清单</x:v>
      </x:c>
      <x:c r="H1" s="80" t="str">
        <x:v>行知旅伴 V2.3 · LLM 混合架构设计与最小改动清单</x:v>
      </x:c>
    </x:row>
    <x:row r="2" ht="30" customHeight="1">
      <x:c r="A2" s="89" t="str">
        <x:v>结论：LLM 负责理解、提问、白名单候选提议和解释；确定性程序负责确认、Provider 事实、Constraint、费用、HARD PASS、公平排序与版本状态。当前仅输出设计/待办，不修改代码。</x:v>
      </x:c>
      <x:c r="B2" s="90" t="str">
        <x:v>结论：LLM 负责理解、提问、白名单候选提议和解释；确定性程序负责确认、Provider 事实、Constraint、费用、HARD PASS、公平排序与版本状态。当前仅输出设计/待办，不修改代码。</x:v>
      </x:c>
      <x:c r="C2" s="90" t="str">
        <x:v>结论：LLM 负责理解、提问、白名单候选提议和解释；确定性程序负责确认、Provider 事实、Constraint、费用、HARD PASS、公平排序与版本状态。当前仅输出设计/待办，不修改代码。</x:v>
      </x:c>
      <x:c r="D2" s="90" t="str">
        <x:v>结论：LLM 负责理解、提问、白名单候选提议和解释；确定性程序负责确认、Provider 事实、Constraint、费用、HARD PASS、公平排序与版本状态。当前仅输出设计/待办，不修改代码。</x:v>
      </x:c>
      <x:c r="E2" s="90" t="str">
        <x:v>结论：LLM 负责理解、提问、白名单候选提议和解释；确定性程序负责确认、Provider 事实、Constraint、费用、HARD PASS、公平排序与版本状态。当前仅输出设计/待办，不修改代码。</x:v>
      </x:c>
      <x:c r="F2" s="90" t="str">
        <x:v>结论：LLM 负责理解、提问、白名单候选提议和解释；确定性程序负责确认、Provider 事实、Constraint、费用、HARD PASS、公平排序与版本状态。当前仅输出设计/待办，不修改代码。</x:v>
      </x:c>
      <x:c r="G2" s="90" t="str">
        <x:v>结论：LLM 负责理解、提问、白名单候选提议和解释；确定性程序负责确认、Provider 事实、Constraint、费用、HARD PASS、公平排序与版本状态。当前仅输出设计/待办，不修改代码。</x:v>
      </x:c>
      <x:c r="H2" s="91" t="str">
        <x:v>结论：LLM 负责理解、提问、白名单候选提议和解释；确定性程序负责确认、Provider 事实、Constraint、费用、HARD PASS、公平排序与版本状态。当前仅输出设计/待办，不修改代码。</x:v>
      </x:c>
    </x:row>
    <x:row r="4" ht="25" customHeight="1">
      <x:c r="A4" s="97" t="str">
        <x:v>1. 现有代码与职责分配的对应关系</x:v>
      </x:c>
      <x:c r="B4" s="98" t="str">
        <x:v>1. 现有代码与职责分配的对应关系</x:v>
      </x:c>
      <x:c r="C4" s="98" t="str">
        <x:v>1. 现有代码与职责分配的对应关系</x:v>
      </x:c>
      <x:c r="D4" s="98" t="str">
        <x:v>1. 现有代码与职责分配的对应关系</x:v>
      </x:c>
      <x:c r="E4" s="98" t="str">
        <x:v>1. 现有代码与职责分配的对应关系</x:v>
      </x:c>
      <x:c r="F4" s="98" t="str">
        <x:v>1. 现有代码与职责分配的对应关系</x:v>
      </x:c>
      <x:c r="G4" s="98" t="str">
        <x:v>1. 现有代码与职责分配的对应关系</x:v>
      </x:c>
      <x:c r="H4" s="99" t="str">
        <x:v>1. 现有代码与职责分配的对应关系</x:v>
      </x:c>
    </x:row>
    <x:row r="5" ht="32" customHeight="1">
      <x:c r="A5" s="104" t="str">
        <x:v>契约/边界</x:v>
      </x:c>
      <x:c r="B5" s="104" t="str">
        <x:v>现有复用位置</x:v>
      </x:c>
      <x:c r="C5" s="104" t="str">
        <x:v>当前状态/缺口</x:v>
      </x:c>
      <x:c r="D5" s="104" t="str">
        <x:v>推荐职责</x:v>
      </x:c>
    </x:row>
    <x:row r="6" ht="64" customHeight="1">
      <x:c r="A6" s="108" t="str">
        <x:v>TripDraft</x:v>
      </x:c>
      <x:c r="B6" s="108" t="str">
        <x:v>app/domain/trip_draft.py；trip_draft_service.py</x:v>
      </x:c>
      <x:c r="C6" s="108" t="str">
        <x:v>正则+显式字段合并，已有缺项/歧义确认清单</x:v>
      </x:c>
      <x:c r="D6" s="108" t="str">
        <x:v>LLM 只提取草稿与问题；程序 strict Schema 校验、保存原文、决定是否可确认</x:v>
      </x:c>
    </x:row>
    <x:row r="7" ht="64" customHeight="1">
      <x:c r="A7" s="108" t="str">
        <x:v>Trip/Participant</x:v>
      </x:c>
      <x:c r="B7" s="108" t="str">
        <x:v>backend/app/schemas/trip.py</x:v>
      </x:c>
      <x:c r="C7" s="108" t="str">
        <x:v>participants 是列表，但 CreateSingleDayTrip/TripMode 仍限制 SINGLE/max=1</x:v>
      </x:c>
      <x:c r="D7" s="108" t="str">
        <x:v>复用契约并扩展 1/2/3；程序生成 ID 与正式 Trip 状态</x:v>
      </x:c>
    </x:row>
    <x:row r="8" ht="64" customHeight="1">
      <x:c r="A8" s="108" t="str">
        <x:v>AssistanceProfile</x:v>
      </x:c>
      <x:c r="B8" s="108" t="str">
        <x:v>schemas/trip.py；schemas/assistance.py</x:v>
      </x:c>
      <x:c r="C8" s="108" t="str">
        <x:v>已有普通/亲子/低体力/行动辅助四类 preset</x:v>
      </x:c>
      <x:c r="D8" s="108" t="str">
        <x:v>LLM 只总结口语；预设/表单确认；程序维护 DRAFT/CONSTRAINT_CONFIRMED</x:v>
      </x:c>
    </x:row>
    <x:row r="9" ht="64" customHeight="1">
      <x:c r="A9" s="108" t="str">
        <x:v>Constraint</x:v>
      </x:c>
      <x:c r="B9" s="108" t="str">
        <x:v>schemas/constraint.py；assistance_constraints/compiler.py</x:v>
      </x:c>
      <x:c r="C9" s="108" t="str">
        <x:v>已有确定性 HARD 编译器与 Agent tool 守卫</x:v>
      </x:c>
      <x:c r="D9" s="108" t="str">
        <x:v>LLM 不得改变 hardness/scope/阈值；程序重新编译并比较 canonical output</x:v>
      </x:c>
    </x:row>
    <x:row r="10" ht="64" customHeight="1">
      <x:c r="A10" s="108" t="str">
        <x:v>Provider</x:v>
      </x:c>
      <x:c r="B10" s="108" t="str">
        <x:v>app/infrastructure/amap.py；amap_service.py</x:v>
      </x:c>
      <x:c r="C10" s="108" t="str">
        <x:v>已有 AMAP、缓存、UNKNOWN/NEEDS_CONFIRMATION</x:v>
      </x:c>
      <x:c r="D10" s="108" t="str">
        <x:v>服务端签发 FactRef/digest；LLM 不得生成地点/路线/价格/设施/来源</x:v>
      </x:c>
    </x:row>
    <x:row r="11" ht="64" customHeight="1">
      <x:c r="A11" s="108" t="str">
        <x:v>候选规划</x:v>
      </x:c>
      <x:c r="B11" s="108" t="str">
        <x:v>planning/models.py；planner.py</x:v>
      </x:c>
      <x:c r="C11" s="108" t="str">
        <x:v>当前单人、确定性、3—4 任务；无多人 max-min</x:v>
      </x:c>
      <x:c r="D11" s="108" t="str">
        <x:v>LLM 仅提议白名单 ID；程序构建候选、HARD 校验、公平排序、唯一输出</x:v>
      </x:c>
    </x:row>
    <x:row r="12" ht="64" customHeight="1">
      <x:c r="A12" s="108" t="str">
        <x:v>PlanVersion/Diff</x:v>
      </x:c>
      <x:c r="B12" s="108" t="str">
        <x:v>plan_guard.py；plan_store.py；plan_diff.py</x:v>
      </x:c>
      <x:c r="C12" s="108" t="str">
        <x:v>已有 PROPOSED/CURRENT/REJECTED/SUPERSEDED、Diff 与唯一 CURRENT</x:v>
      </x:c>
      <x:c r="D12" s="108" t="str">
        <x:v>LLM 只解释；程序事务性确认/接受/拒绝并生成 digest/Diff</x:v>
      </x:c>
    </x:row>
    <x:row r="13" ht="64" customHeight="1">
      <x:c r="A13" s="108" t="str">
        <x:v>前端</x:v>
      </x:c>
      <x:c r="B13" s="108" t="str">
        <x:v>PlannerPage/AgentProcessPage/WorkspacePage</x:v>
      </x:c>
      <x:c r="C13" s="108" t="str">
        <x:v>textarea+多块表单/面板；无真正对话组件</x:v>
      </x:c>
      <x:c r="D13" s="108" t="str">
        <x:v>收敛为单对话壳+确认卡+唯一主操作，证据细节默认折叠</x:v>
      </x:c>
    </x:row>
    <x:row r="14" ht="64" customHeight="1">
      <x:c r="A14" s="108" t="str">
        <x:v>LLM Runtime</x:v>
      </x:c>
      <x:c r="B14" s="108" t="str">
        <x:v>pyproject.toml；config.py；main.py</x:v>
      </x:c>
      <x:c r="C14" s="108" t="str">
        <x:v>无模型客户端、配置或运行时；README 不宣称在线模型</x:v>
      </x:c>
      <x:c r="D14" s="108" t="str">
        <x:v>新增后端 gateway/config；浏览器不得持有 API Key 或直连模型</x:v>
      </x:c>
    </x:row>
    <x:row r="16" ht="25" customHeight="1">
      <x:c r="A16" s="97" t="str">
        <x:v>2. 推荐调用时机与数据流</x:v>
      </x:c>
      <x:c r="B16" s="98" t="str">
        <x:v>2. 推荐调用时机与数据流</x:v>
      </x:c>
      <x:c r="C16" s="98" t="str">
        <x:v>2. 推荐调用时机与数据流</x:v>
      </x:c>
      <x:c r="D16" s="98" t="str">
        <x:v>2. 推荐调用时机与数据流</x:v>
      </x:c>
      <x:c r="E16" s="98" t="str">
        <x:v>2. 推荐调用时机与数据流</x:v>
      </x:c>
      <x:c r="F16" s="98" t="str">
        <x:v>2. 推荐调用时机与数据流</x:v>
      </x:c>
      <x:c r="G16" s="98" t="str">
        <x:v>2. 推荐调用时机与数据流</x:v>
      </x:c>
      <x:c r="H16" s="99" t="str">
        <x:v>2. 推荐调用时机与数据流</x:v>
      </x:c>
    </x:row>
    <x:row r="17" ht="32" customHeight="1">
      <x:c r="A17" s="114" t="str">
        <x:v>阶段</x:v>
      </x:c>
      <x:c r="B17" s="114" t="str">
        <x:v>是否调用 LLM</x:v>
      </x:c>
      <x:c r="C17" s="114" t="str">
        <x:v>LLM 输入</x:v>
      </x:c>
      <x:c r="D17" s="114" t="str">
        <x:v>LLM 输出</x:v>
      </x:c>
      <x:c r="E17" s="114" t="str">
        <x:v>程序随后做什么</x:v>
      </x:c>
      <x:c r="F17" s="114" t="str">
        <x:v>用户必须确认</x:v>
      </x:c>
      <x:c r="G17" s="114" t="str">
        <x:v>失败降级</x:v>
      </x:c>
      <x:c r="H17" s="114" t="str">
        <x:v>业务状态写入者</x:v>
      </x:c>
    </x:row>
    <x:row r="18" ht="62" customHeight="1">
      <x:c r="A18" s="108" t="str">
        <x:v>需求整理</x:v>
      </x:c>
      <x:c r="B18" s="108" t="str">
        <x:v>调用1（一次）</x:v>
      </x:c>
      <x:c r="C18" s="108" t="str">
        <x:v>原始对话+固定问题答案+referenceDate</x:v>
      </x:c>
      <x:c r="D18" s="108" t="str">
        <x:v>Trip/成员/关怀草稿、证据、缺项、歧义、问题</x:v>
      </x:c>
      <x:c r="E18" s="108" t="str">
        <x:v>strict 校验、字段合并、冲突检测、保存 TripDraft</x:v>
      </x:c>
      <x:c r="F18" s="108" t="str">
        <x:v>是</x:v>
      </x:c>
      <x:c r="G18" s="108" t="str">
        <x:v>规则解析+结构化表单</x:v>
      </x:c>
      <x:c r="H18" s="108" t="str">
        <x:v>程序</x:v>
      </x:c>
    </x:row>
    <x:row r="19" ht="62" customHeight="1">
      <x:c r="A19" s="108" t="str">
        <x:v>关怀确认</x:v>
      </x:c>
      <x:c r="B19" s="108" t="str">
        <x:v>不额外调用</x:v>
      </x:c>
      <x:c r="C19" s="108" t="str">
        <x:v>四类 preset+结构化字段</x:v>
      </x:c>
      <x:c r="D19" s="108" t="str">
        <x:v>—</x:v>
      </x:c>
      <x:c r="E19" s="108" t="str">
        <x:v>维护 DRAFT/CONFIRMED，编译 canonical Constraint</x:v>
      </x:c>
      <x:c r="F19" s="108" t="str">
        <x:v>是</x:v>
      </x:c>
      <x:c r="G19" s="108" t="str">
        <x:v>继续固定问题/表单</x:v>
      </x:c>
      <x:c r="H19" s="108" t="str">
        <x:v>程序</x:v>
      </x:c>
    </x:row>
    <x:row r="20" ht="62" customHeight="1">
      <x:c r="A20" s="108" t="str">
        <x:v>候选选择</x:v>
      </x:c>
      <x:c r="B20" s="108" t="str">
        <x:v>调用2（一次）</x:v>
      </x:c>
      <x:c r="C20" s="108" t="str">
        <x:v>已确认摘要+6—8 个 Provider FactRef</x:v>
      </x:c>
      <x:c r="D20" s="108" t="str">
        <x:v>白名单地点 ID/顺序/理由</x:v>
      </x:c>
      <x:c r="E20" s="108" t="str">
        <x:v>构建路线与候选、HARD 校验、公平排序、唯一 PROPOSED</x:v>
      </x:c>
      <x:c r="F20" s="108" t="str">
        <x:v>确认 Plan V1</x:v>
      </x:c>
      <x:c r="G20" s="108" t="str">
        <x:v>确定性候选枚举</x:v>
      </x:c>
      <x:c r="H20" s="108" t="str">
        <x:v>程序</x:v>
      </x:c>
    </x:row>
    <x:row r="21" ht="62" customHeight="1">
      <x:c r="A21" s="108" t="str">
        <x:v>执行期迟到/疲劳</x:v>
      </x:c>
      <x:c r="B21" s="108" t="str">
        <x:v>按事件需要；不计 90 秒主链</x:v>
      </x:c>
      <x:c r="C21" s="108" t="str">
        <x:v>原话+taskId</x:v>
      </x:c>
      <x:c r="D21" s="108" t="str">
        <x:v>LATE/FATIGUE 草稿/确认问题</x:v>
      </x:c>
      <x:c r="E21" s="108" t="str">
        <x:v>校验事件、转换约束、重规划、版本事务</x:v>
      </x:c>
      <x:c r="F21" s="108" t="str">
        <x:v>是</x:v>
      </x:c>
      <x:c r="G21" s="108" t="str">
        <x:v>数值/等级固定表单</x:v>
      </x:c>
      <x:c r="H21" s="108" t="str">
        <x:v>程序</x:v>
      </x:c>
    </x:row>
    <x:row r="23">
      <x:c r="A23" s="129" t="str">
        <x:v>用户自然语言 → 调用1草稿 → Schema/确认清单 → 用户确认 Trip 与 AssistanceProfile → 程序编译 Constraint → Provider 服务端事实 → 调用2白名单地点提议 → 程序生成并校验候选 → max-min 公平排序 → 唯一 3—4 任务 PROPOSED → 用户确认后才成为 Plan V1。</x:v>
      </x:c>
      <x:c r="B23" s="130"/>
      <x:c r="C23" s="130"/>
      <x:c r="D23" s="130"/>
      <x:c r="E23" s="130"/>
      <x:c r="F23" s="130"/>
      <x:c r="G23" s="130"/>
      <x:c r="H23" s="131"/>
    </x:row>
    <x:row r="24">
      <x:c r="A24" s="132"/>
      <x:c r="B24" s="133"/>
      <x:c r="C24" s="133"/>
      <x:c r="D24" s="133"/>
      <x:c r="E24" s="133"/>
      <x:c r="F24" s="133"/>
      <x:c r="G24" s="133"/>
      <x:c r="H24" s="134"/>
    </x:row>
    <x:row r="26" ht="25" customHeight="1">
      <x:c r="A26" s="97" t="str">
        <x:v>3—4. 需要复用/新增的模块与接口</x:v>
      </x:c>
      <x:c r="B26" s="98" t="str">
        <x:v>3—4. 需要复用/新增的模块与接口</x:v>
      </x:c>
      <x:c r="C26" s="98" t="str">
        <x:v>3—4. 需要复用/新增的模块与接口</x:v>
      </x:c>
      <x:c r="D26" s="98" t="str">
        <x:v>3—4. 需要复用/新增的模块与接口</x:v>
      </x:c>
      <x:c r="E26" s="98" t="str">
        <x:v>3—4. 需要复用/新增的模块与接口</x:v>
      </x:c>
      <x:c r="F26" s="98" t="str">
        <x:v>3—4. 需要复用/新增的模块与接口</x:v>
      </x:c>
      <x:c r="G26" s="98" t="str">
        <x:v>3—4. 需要复用/新增的模块与接口</x:v>
      </x:c>
      <x:c r="H26" s="99" t="str">
        <x:v>3—4. 需要复用/新增的模块与接口</x:v>
      </x:c>
    </x:row>
    <x:row r="27" ht="32" customHeight="1">
      <x:c r="A27" s="104" t="str">
        <x:v>类型</x:v>
      </x:c>
      <x:c r="B27" s="104" t="str">
        <x:v>模块/接口</x:v>
      </x:c>
      <x:c r="C27" s="104" t="str">
        <x:v>改动说明</x:v>
      </x:c>
    </x:row>
    <x:row r="28" ht="48" customHeight="1">
      <x:c r="A28" s="108" t="str">
        <x:v>复用</x:v>
      </x:c>
      <x:c r="B28" s="108" t="str">
        <x:v>TripDraftParserService</x:v>
      </x:c>
      <x:c r="C28" s="108" t="str">
        <x:v>调用1失败后的规则解析与归一化；显式字段优先；固定 referenceDate</x:v>
      </x:c>
    </x:row>
    <x:row r="29" ht="48" customHeight="1">
      <x:c r="A29" s="108" t="str">
        <x:v>复用</x:v>
      </x:c>
      <x:c r="B29" s="108" t="str">
        <x:v>ContractModel</x:v>
      </x:c>
      <x:c r="C29" s="108" t="str">
        <x:v>所有 LLM 请求/响应 strict、extra=forbid，并输出 JSON Schema</x:v>
      </x:c>
    </x:row>
    <x:row r="30" ht="48" customHeight="1">
      <x:c r="A30" s="108" t="str">
        <x:v>复用</x:v>
      </x:c>
      <x:c r="B30" s="108" t="str">
        <x:v>DeterministicAssistanceConstraintCompiler / AgentTool</x:v>
      </x:c>
      <x:c r="C30" s="108" t="str">
        <x:v>确认后重新编译 HARD 约束；拒绝模型篡改</x:v>
      </x:c>
    </x:row>
    <x:row r="31" ht="48" customHeight="1">
      <x:c r="A31" s="108" t="str">
        <x:v>复用</x:v>
      </x:c>
      <x:c r="B31" s="108" t="str">
        <x:v>AmapLocationService / cache</x:v>
      </x:c>
      <x:c r="C31" s="108" t="str">
        <x:v>只提供真实 Provider 事实；未知保持待确认</x:v>
      </x:c>
    </x:row>
    <x:row r="32" ht="48" customHeight="1">
      <x:c r="A32" s="108" t="str">
        <x:v>复用</x:v>
      </x:c>
      <x:c r="B32" s="108" t="str">
        <x:v>DeterministicCandidatePlanner / PlanningBoundaryService</x:v>
      </x:c>
      <x:c r="C32" s="108" t="str">
        <x:v>候选生成、HARD 校验、签发和零持久化失败语义</x:v>
      </x:c>
    </x:row>
    <x:row r="33" ht="48" customHeight="1">
      <x:c r="A33" s="108" t="str">
        <x:v>新增</x:v>
      </x:c>
      <x:c r="B33" s="108" t="str">
        <x:v>backend/app/schemas/llm.py</x:v>
      </x:c>
      <x:c r="C33" s="108" t="str">
        <x:v>TripUnderstandingProposal、ProviderCandidateSelectionProposal、LlmCallMeta</x:v>
      </x:c>
    </x:row>
    <x:row r="34" ht="48" customHeight="1">
      <x:c r="A34" s="108" t="str">
        <x:v>新增</x:v>
      </x:c>
      <x:c r="B34" s="108" t="str">
        <x:v>app/application/llm_gateway.py</x:v>
      </x:c>
      <x:c r="C34" s="108" t="str">
        <x:v>extract / select 与 UnavailableLlmGateway；不暴露模型商错误</x:v>
      </x:c>
    </x:row>
    <x:row r="35" ht="48" customHeight="1">
      <x:c r="A35" s="108" t="str">
        <x:v>新增</x:v>
      </x:c>
      <x:c r="B35" s="108" t="str">
        <x:v>app/infrastructure/openai_compatible_llm.py</x:v>
      </x:c>
      <x:c r="C35" s="108" t="str">
        <x:v>复用 httpx；短超时；Key 仅后端 SecretStr</x:v>
      </x:c>
    </x:row>
    <x:row r="36" ht="48" customHeight="1">
      <x:c r="A36" s="108" t="str">
        <x:v>新增</x:v>
      </x:c>
      <x:c r="B36" s="108" t="str">
        <x:v>app/application/provider_fact_registry.py</x:v>
      </x:c>
      <x:c r="C36" s="108" t="str">
        <x:v>签发 opaque FactRef 与 digest，阻止伪造 AMAP/ONLINE、低价或短路线</x:v>
      </x:c>
    </x:row>
    <x:row r="37" ht="48" customHeight="1">
      <x:c r="A37" s="108" t="str">
        <x:v>新增</x:v>
      </x:c>
      <x:c r="B37" s="108" t="str">
        <x:v>app/application/group_planning_service.py</x:v>
      </x:c>
      <x:c r="C37" s="108" t="str">
        <x:v>恢复已确认 Trip/Profile，调用 Provider→LLM shortlist→程序公平唯一推荐</x:v>
      </x:c>
    </x:row>
    <x:row r="38" ht="48" customHeight="1">
      <x:c r="A38" s="108" t="str">
        <x:v>新增</x:v>
      </x:c>
      <x:c r="B38" s="108" t="str">
        <x:v>backend/app/services/fairness/</x:v>
      </x:c>
      <x:c r="C38" s="108" t="str">
        <x:v>服务端计算 satisfaction vector/max-min/avg/cost/detour/stable ID</x:v>
      </x:c>
    </x:row>
    <x:row r="39" ht="48" customHeight="1">
      <x:c r="A39" s="108" t="str">
        <x:v>新增</x:v>
      </x:c>
      <x:c r="B39" s="108" t="str">
        <x:v>POST /api/v1/trips/{tripId}/recommendations/generate</x:v>
      </x:c>
      <x:c r="C39" s="108" t="str">
        <x:v>只接收确认后的补充意图/traceId；权威 Trip/Profile/Provider facts 均从服务端恢复</x:v>
      </x:c>
    </x:row>
    <x:row r="41" ht="25" customHeight="1">
      <x:c r="A41" s="97" t="str">
        <x:v>5. 超时、错误与降级处理</x:v>
      </x:c>
      <x:c r="B41" s="98" t="str">
        <x:v>5. 超时、错误与降级处理</x:v>
      </x:c>
      <x:c r="C41" s="98" t="str">
        <x:v>5. 超时、错误与降级处理</x:v>
      </x:c>
      <x:c r="D41" s="98" t="str">
        <x:v>5. 超时、错误与降级处理</x:v>
      </x:c>
      <x:c r="E41" s="98" t="str">
        <x:v>5. 超时、错误与降级处理</x:v>
      </x:c>
      <x:c r="F41" s="98" t="str">
        <x:v>5. 超时、错误与降级处理</x:v>
      </x:c>
      <x:c r="G41" s="98" t="str">
        <x:v>5. 超时、错误与降级处理</x:v>
      </x:c>
      <x:c r="H41" s="99" t="str">
        <x:v>5. 超时、错误与降级处理</x:v>
      </x:c>
    </x:row>
    <x:row r="42" ht="32" customHeight="1">
      <x:c r="A42" s="104" t="str">
        <x:v>故障</x:v>
      </x:c>
      <x:c r="B42" s="104" t="str">
        <x:v>用户与系统行为</x:v>
      </x:c>
    </x:row>
    <x:row r="43" ht="48" customHeight="1">
      <x:c r="A43" s="108" t="str">
        <x:v>LLM 未启用/Key 缺失</x:v>
      </x:c>
      <x:c r="B43" s="108" t="str">
        <x:v>调用1走现有规则解析+结构化表单；调用2走稳定 ID 确定性枚举；应用仍可启动</x:v>
      </x:c>
    </x:row>
    <x:row r="44" ht="48" customHeight="1">
      <x:c r="A44" s="108" t="str">
        <x:v>超时、429、5xx</x:v>
      </x:c>
      <x:c r="B44" s="108" t="str">
        <x:v>短超时；零重试或一次传输重试；显示“AI 辅助暂不可用，已切换结构化流程”</x:v>
      </x:c>
    </x:row>
    <x:row r="45" ht="48" customHeight="1">
      <x:c r="A45" s="108" t="str">
        <x:v>非 JSON/截断/extra/NaN</x:v>
      </x:c>
      <x:c r="B45" s="108" t="str">
        <x:v>strict Schema 直接拒绝；保留原文；不发起第三次“修 JSON”调用</x:v>
      </x:c>
    </x:row>
    <x:row r="46" ht="48" customHeight="1">
      <x:c r="A46" s="108" t="str">
        <x:v>越界/重复 FactRef</x:v>
      </x:c>
      <x:c r="B46" s="108" t="str">
        <x:v>allowlist+digest 拒绝；走确定性候选；不进入签发</x:v>
      </x:c>
    </x:row>
    <x:row r="47" ht="48" customHeight="1">
      <x:c r="A47" s="108" t="str">
        <x:v>Provider 缺失</x:v>
      </x:c>
      <x:c r="B47" s="108" t="str">
        <x:v>仅可用 VERIFIED_CACHE；无缓存则阻止规划；UNKNOWN/陈旧事实继续标待确认</x:v>
      </x:c>
    </x:row>
    <x:row r="48" ht="48" customHeight="1">
      <x:c r="A48" s="108" t="str">
        <x:v>无硬约束可行解</x:v>
      </x:c>
      <x:c r="B48" s="108" t="str">
        <x:v>返回 participantId/ruleId/冲突原因/可放宽项；不保存半成品 Plan</x:v>
      </x:c>
    </x:row>
    <x:row r="49" ht="48" customHeight="1">
      <x:c r="A49" s="108" t="str">
        <x:v>推荐解释失败</x:v>
      </x:c>
      <x:c r="B49" s="108" t="str">
        <x:v>仍展示程序生成的结构化唯一方案；省略 AI 理由，不阻断用户确认</x:v>
      </x:c>
    </x:row>
    <x:row r="50" ht="48" customHeight="1">
      <x:c r="A50" s="108" t="str">
        <x:v>疑似凭据泄露</x:v>
      </x:c>
      <x:c r="B50" s="108" t="str">
        <x:v>实施前轮换并清理 Git 历史；CI 加 secret scan；任何工作簿/日志不记录 Key</x:v>
      </x:c>
    </x:row>
    <x:row r="52" ht="25" customHeight="1">
      <x:c r="A52" s="97" t="str">
        <x:v>6. 自动化测试与用户验收重点</x:v>
      </x:c>
      <x:c r="B52" s="98" t="str">
        <x:v>6. 自动化测试与用户验收重点</x:v>
      </x:c>
      <x:c r="C52" s="98" t="str">
        <x:v>6. 自动化测试与用户验收重点</x:v>
      </x:c>
      <x:c r="D52" s="98" t="str">
        <x:v>6. 自动化测试与用户验收重点</x:v>
      </x:c>
      <x:c r="E52" s="98" t="str">
        <x:v>6. 自动化测试与用户验收重点</x:v>
      </x:c>
      <x:c r="F52" s="98" t="str">
        <x:v>6. 自动化测试与用户验收重点</x:v>
      </x:c>
      <x:c r="G52" s="98" t="str">
        <x:v>6. 自动化测试与用户验收重点</x:v>
      </x:c>
      <x:c r="H52" s="99" t="str">
        <x:v>6. 自动化测试与用户验收重点</x:v>
      </x:c>
    </x:row>
    <x:row r="53" ht="32" customHeight="1">
      <x:c r="A53" s="114" t="str">
        <x:v>测试层</x:v>
      </x:c>
      <x:c r="B53" s="114" t="str">
        <x:v>必须覆盖</x:v>
      </x:c>
      <x:c r="C53" s="114" t="str">
        <x:v>判定重点</x:v>
      </x:c>
      <x:c r="D53" s="114" t="str">
        <x:v>复用位置</x:v>
      </x:c>
      <x:c r="E53" s="114" t="str">
        <x:v>不得发生</x:v>
      </x:c>
      <x:c r="F53" s="114" t="str">
        <x:v>证据</x:v>
      </x:c>
      <x:c r="G53" s="114" t="str">
        <x:v>优先级</x:v>
      </x:c>
      <x:c r="H53" s="114" t="str">
        <x:v>备注</x:v>
      </x:c>
    </x:row>
    <x:row r="54" ht="62" customHeight="1">
      <x:c r="A54" s="108" t="str">
        <x:v>Schema/Fake LLM</x:v>
      </x:c>
      <x:c r="B54" s="108" t="str">
        <x:v>超时、429/5xx、Markdown、截断、extra、NaN、注入、越界 ID</x:v>
      </x:c>
      <x:c r="C54" s="108" t="str">
        <x:v>直接降级；无第三次修复调用</x:v>
      </x:c>
      <x:c r="D54" s="108" t="str">
        <x:v>test_trip_draft_parser + 新 gateway tests</x:v>
      </x:c>
      <x:c r="E54" s="108" t="str">
        <x:v>模型错误进入正式状态</x:v>
      </x:c>
      <x:c r="F54" s="108" t="str">
        <x:v>请求/响应脱敏快照</x:v>
      </x:c>
      <x:c r="G54" s="108" t="str">
        <x:v>P0</x:v>
      </x:c>
      <x:c r="H54" s="108" t="str">
        <x:v>固定 referenceDate</x:v>
      </x:c>
    </x:row>
    <x:row r="55" ht="62" customHeight="1">
      <x:c r="A55" s="108" t="str">
        <x:v>关怀</x:v>
      </x:c>
      <x:c r="B55" s="108" t="str">
        <x:v>四 preset、修改回 DRAFT、canonical compiler 比较</x:v>
      </x:c>
      <x:c r="C55" s="108" t="str">
        <x:v>模型无法改 hardness/scope/阈值</x:v>
      </x:c>
      <x:c r="D55" s="108" t="str">
        <x:v>test_assistance_constraint_tool</x:v>
      </x:c>
      <x:c r="E55" s="108" t="str">
        <x:v>未确认即规划</x:v>
      </x:c>
      <x:c r="F55" s="108" t="str">
        <x:v>Profile/Constraint 快照</x:v>
      </x:c>
      <x:c r="G55" s="108" t="str">
        <x:v>P0</x:v>
      </x:c>
      <x:c r="H55" s="108" t="str">
        <x:v>结构化表单优先</x:v>
      </x:c>
    </x:row>
    <x:row r="56" ht="62" customHeight="1">
      <x:c r="A56" s="108" t="str">
        <x:v>Provider/规划</x:v>
      </x:c>
      <x:c r="B56" s="108" t="str">
        <x:v>FactRef 伪造、UNKNOWN、陈旧、跨城、重复、HARD fail</x:v>
      </x:c>
      <x:c r="C56" s="108" t="str">
        <x:v>无服务端事实不签发</x:v>
      </x:c>
      <x:c r="D56" s="108" t="str">
        <x:v>candidate_planner + planning boundaries</x:v>
      </x:c>
      <x:c r="E56" s="108" t="str">
        <x:v>LLM/客户端伪造 AMAP/ONLINE</x:v>
      </x:c>
      <x:c r="F56" s="108" t="str">
        <x:v>FactRef/digest/零持久化</x:v>
      </x:c>
      <x:c r="G56" s="108" t="str">
        <x:v>P0</x:v>
      </x:c>
      <x:c r="H56" s="108" t="str">
        <x:v>先修信任缺口</x:v>
      </x:c>
    </x:row>
    <x:row r="57" ht="62" customHeight="1">
      <x:c r="A57" s="108" t="str">
        <x:v>公平/版本</x:v>
      </x:c>
      <x:c r="B57" s="108" t="str">
        <x:v>min→avg→cost→detour→stable ID；唯一 CURRENT；接受/拒绝</x:v>
      </x:c>
      <x:c r="C57" s="108" t="str">
        <x:v>同输入同胜者/同 digest/Diff</x:v>
      </x:c>
      <x:c r="D57" s="108" t="str">
        <x:v>新 fairness tests + plan_store tests</x:v>
      </x:c>
      <x:c r="E57" s="108" t="str">
        <x:v>客户端自报 satisfactionLoss</x:v>
      </x:c>
      <x:c r="F57" s="108" t="str">
        <x:v>排序/版本快照</x:v>
      </x:c>
      <x:c r="G57" s="108" t="str">
        <x:v>P0</x:v>
      </x:c>
      <x:c r="H57" s="108" t="str">
        <x:v>解释措辞不影响结果</x:v>
      </x:c>
    </x:row>
    <x:row r="58" ht="62" customHeight="1">
      <x:c r="A58" s="108" t="str">
        <x:v>教师 UAT</x:v>
      </x:c>
      <x:c r="B58" s="108" t="str">
        <x:v>48 条场景、90 秒规划、8—12 分钟主链、375/768</x:v>
      </x:c>
      <x:c r="C58" s="108" t="str">
        <x:v>用户操作+可见结果+证据</x:v>
      </x:c>
      <x:c r="D58" s="108" t="str">
        <x:v>教师展示版清单</x:v>
      </x:c>
      <x:c r="E58" s="108" t="str">
        <x:v>用接口/单测冒充通过</x:v>
      </x:c>
      <x:c r="F58" s="108" t="str">
        <x:v>录屏/截图/状态/日期</x:v>
      </x:c>
      <x:c r="G58" s="108" t="str">
        <x:v>P0</x:v>
      </x:c>
      <x:c r="H58" s="108" t="str">
        <x:v>默认未执行</x:v>
      </x:c>
    </x:row>
    <x:row r="60" ht="25" customHeight="1">
      <x:c r="A60" s="97" t="str">
        <x:v>7. 最小改动实施顺序（确认后才写代码）</x:v>
      </x:c>
      <x:c r="B60" s="98" t="str">
        <x:v>7. 最小改动实施顺序（确认后才写代码）</x:v>
      </x:c>
      <x:c r="C60" s="98" t="str">
        <x:v>7. 最小改动实施顺序（确认后才写代码）</x:v>
      </x:c>
      <x:c r="D60" s="98" t="str">
        <x:v>7. 最小改动实施顺序（确认后才写代码）</x:v>
      </x:c>
      <x:c r="E60" s="98" t="str">
        <x:v>7. 最小改动实施顺序（确认后才写代码）</x:v>
      </x:c>
      <x:c r="F60" s="98" t="str">
        <x:v>7. 最小改动实施顺序（确认后才写代码）</x:v>
      </x:c>
      <x:c r="G60" s="98" t="str">
        <x:v>7. 最小改动实施顺序（确认后才写代码）</x:v>
      </x:c>
      <x:c r="H60" s="99" t="str">
        <x:v>7. 最小改动实施顺序（确认后才写代码）</x:v>
      </x:c>
    </x:row>
    <x:row r="61" ht="32" customHeight="1">
      <x:c r="A61" s="104" t="str">
        <x:v>顺序</x:v>
      </x:c>
      <x:c r="B61" s="104" t="str">
        <x:v>实施项</x:v>
      </x:c>
      <x:c r="C61" s="104" t="str">
        <x:v>关联 Task/门禁</x:v>
      </x:c>
    </x:row>
    <x:row r="62" ht="52" customHeight="1">
      <x:c r="A62" s="108" t="n">
        <x:v>1</x:v>
      </x:c>
      <x:c r="B62" s="108" t="str">
        <x:v>先轮换疑似泄露的 LLM 凭据并加 secret scan；建立 LLM_ENABLED=false 的安全默认。</x:v>
      </x:c>
      <x:c r="C62" s="108" t="str">
        <x:v>安全门禁</x:v>
      </x:c>
    </x:row>
    <x:row r="63" ht="52" customHeight="1">
      <x:c r="A63" s="108" t="n">
        <x:v>2</x:v>
      </x:c>
      <x:c r="B63" s="108" t="str">
        <x:v>扩展现有 Trip/Participant 为 1/2/3 人并冻结 TripUnderstanding Schema、固定 referenceDate 与 Fixture。</x:v>
      </x:c>
      <x:c r="C63" s="108" t="str">
        <x:v>S2-T001</x:v>
      </x:c>
    </x:row>
    <x:row r="64" ht="52" customHeight="1">
      <x:c r="A64" s="108" t="n">
        <x:v>3</x:v>
      </x:c>
      <x:c r="B64" s="108" t="str">
        <x:v>新增 LLM gateway 与调用1；复用 TripDraftParserService 做校验/降级；完成对话壳与预设问题。</x:v>
      </x:c>
      <x:c r="C64" s="108" t="str">
        <x:v>S2-T002~T004</x:v>
      </x:c>
    </x:row>
    <x:row r="65" ht="52" customHeight="1">
      <x:c r="A65" s="108" t="n">
        <x:v>4</x:v>
      </x:c>
      <x:c r="B65" s="108" t="str">
        <x:v>补 server-issued Provider FactRef/digest 与权威 confirmed Trip 恢复，堵住客户端/模型伪造事实。</x:v>
      </x:c>
      <x:c r="C65" s="108" t="str">
        <x:v>S2-T009 前置门禁</x:v>
      </x:c>
    </x:row>
    <x:row r="66" ht="52" customHeight="1">
      <x:c r="A66" s="108" t="n">
        <x:v>5</x:v>
      </x:c>
      <x:c r="B66" s="108" t="str">
        <x:v>实现服务端 satisfaction vector 与 max-min 公平排序；移除客户端自报 satisfactionLoss 的裁决权。</x:v>
      </x:c>
      <x:c r="C66" s="108" t="str">
        <x:v>S2-T007~T008</x:v>
      </x:c>
    </x:row>
    <x:row r="67" ht="52" customHeight="1">
      <x:c r="A67" s="108" t="n">
        <x:v>6</x:v>
      </x:c>
      <x:c r="B67" s="108" t="str">
        <x:v>接入调用2：白名单地点 ID/顺序/理由；非法/超时走确定性枚举；最终只签发一个 3—4 任务 PROPOSED。</x:v>
      </x:c>
      <x:c r="C67" s="108" t="str">
        <x:v>S2-T009</x:v>
      </x:c>
    </x:row>
    <x:row r="68" ht="52" customHeight="1">
      <x:c r="A68" s="108" t="n">
        <x:v>7</x:v>
      </x:c>
      <x:c r="B68" s="108" t="str">
        <x:v>精简推荐/执行/V2/回忆前端，接通 GPS、照片、事件、版本和移动端状态。</x:v>
      </x:c>
      <x:c r="C68" s="108" t="str">
        <x:v>S2-T010~T023</x:v>
      </x:c>
    </x:row>
    <x:row r="69" ht="52" customHeight="1">
      <x:c r="A69" s="108" t="n">
        <x:v>8</x:v>
      </x:c>
      <x:c r="B69" s="108" t="str">
        <x:v>按 48 条教师 UAT 先跑 90 秒规划链，再跑 8—12 分钟完整链；未获真实证据保持未执行。</x:v>
      </x:c>
      <x:c r="C69" s="108" t="str">
        <x:v>S2-T024</x:v>
      </x:c>
    </x:row>
    <x:row r="71">
      <x:c r="A71" s="154" t="str">
        <x:v>阻断级安全门禁：仓库历史中发现疑似完整 LLM 凭据痕迹（本表不复述内容）。任何模型接入/部署前必须吊销轮换、清理历史并在 CI 加 secret scan；前端不得出现 VITE_LLM_API_KEY 或浏览器直连模型。</x:v>
      </x:c>
      <x:c r="B71" s="155"/>
      <x:c r="C71" s="155"/>
      <x:c r="D71" s="155"/>
      <x:c r="E71" s="155"/>
      <x:c r="F71" s="155"/>
      <x:c r="G71" s="155"/>
      <x:c r="H71" s="156"/>
    </x:row>
    <x:row r="72">
      <x:c r="A72" s="157"/>
      <x:c r="B72" s="158"/>
      <x:c r="C72" s="158"/>
      <x:c r="D72" s="158"/>
      <x:c r="E72" s="158"/>
      <x:c r="F72" s="158"/>
      <x:c r="G72" s="158"/>
      <x:c r="H72" s="159"/>
    </x:row>
    <x:row r="73">
      <x:c r="A73" s="160"/>
      <x:c r="B73" s="161"/>
      <x:c r="C73" s="161"/>
      <x:c r="D73" s="161"/>
      <x:c r="E73" s="161"/>
      <x:c r="F73" s="161"/>
      <x:c r="G73" s="161"/>
      <x:c r="H73" s="162"/>
    </x:row>
  </x:sheetData>
  <x:mergeCells>
    <x:mergeCell ref="A1:H1"/>
    <x:mergeCell ref="A2:H2"/>
    <x:mergeCell ref="A4:H4"/>
    <x:mergeCell ref="A16:H16"/>
    <x:mergeCell ref="A23:H24"/>
    <x:mergeCell ref="A26:H26"/>
    <x:mergeCell ref="A41:H41"/>
    <x:mergeCell ref="A52:H52"/>
    <x:mergeCell ref="A60:H60"/>
    <x:mergeCell ref="A71:H73"/>
  </x:mergeCells>
  <x:printOptions horizontalCentered="0" verticalCentered="0" gridLines="0" headings="0"/>
  <x:pageMargins left="0.3" right="0.3" top="0.5" bottom="0.5" header="0.2" footer="0.2"/>
  <x:pageSetup paperSize="9" orientation="landscape" fitToWidth="1" fitToHeight="0" blackAndWhite="0" draft="0"/>
  <x:headerFooter>
    <x:oddFooter>&amp;L行知旅伴 V2.3&amp;R第 &amp;P / &amp;N 页</x:oddFooter>
  </x:headerFooter>
  <x:tableParts count="4">
    <x:tablePart xmlns:r="http://schemas.openxmlformats.org/officeDocument/2006/relationships" r:id="Rb4b0bb05bafc4194"/>
    <x:tablePart xmlns:r="http://schemas.openxmlformats.org/officeDocument/2006/relationships" r:id="R91378ae05b174317"/>
    <x:tablePart xmlns:r="http://schemas.openxmlformats.org/officeDocument/2006/relationships" r:id="R42efe38ffa6e4c85"/>
    <x:tablePart xmlns:r="http://schemas.openxmlformats.org/officeDocument/2006/relationships" r:id="R8555bdc0be414d83"/>
  </x:tableParts>
</x:worksheet>
</file>

<file path=xl/worksheets/sheet6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4" topLeftCell="A5" activePane="bottomLeft" state="frozen"/>
      <x:selection pane="bottomLeft" activeCell="A5" sqref="A5"/>
    </x:sheetView>
  </x:sheetViews>
  <x:sheetFormatPr defaultRowHeight="15"/>
  <x:cols>
    <x:col min="1" max="1" width="34" hidden="0" customWidth="1"/>
    <x:col min="2" max="2" width="10" hidden="0" customWidth="1"/>
    <x:col min="3" max="3" width="34" hidden="0" customWidth="1"/>
    <x:col min="4" max="4" width="18" hidden="0" customWidth="1"/>
    <x:col min="5" max="5" width="10" hidden="0" customWidth="1"/>
    <x:col min="6" max="6" width="34" hidden="0" customWidth="1"/>
    <x:col min="7" max="7" width="30" hidden="0" customWidth="1"/>
    <x:col min="8" max="8" width="36" hidden="0" customWidth="1"/>
  </x:cols>
  <x:sheetData>
    <x:row r="1" ht="34" customHeight="1">
      <x:c r="A1" s="80" t="str">
        <x:v>行知旅伴 V2.3 · LLM 固定 JSON Schema（字段级契约）</x:v>
      </x:c>
      <x:c r="B1" s="80" t="str">
        <x:v>行知旅伴 V2.3 · LLM 固定 JSON Schema（字段级契约）</x:v>
      </x:c>
      <x:c r="C1" s="80" t="str">
        <x:v>行知旅伴 V2.3 · LLM 固定 JSON Schema（字段级契约）</x:v>
      </x:c>
      <x:c r="D1" s="80" t="str">
        <x:v>行知旅伴 V2.3 · LLM 固定 JSON Schema（字段级契约）</x:v>
      </x:c>
      <x:c r="E1" s="80" t="str">
        <x:v>行知旅伴 V2.3 · LLM 固定 JSON Schema（字段级契约）</x:v>
      </x:c>
      <x:c r="F1" s="80" t="str">
        <x:v>行知旅伴 V2.3 · LLM 固定 JSON Schema（字段级契约）</x:v>
      </x:c>
      <x:c r="G1" s="80" t="str">
        <x:v>行知旅伴 V2.3 · LLM 固定 JSON Schema（字段级契约）</x:v>
      </x:c>
      <x:c r="H1" s="80" t="str">
        <x:v>行知旅伴 V2.3 · LLM 固定 JSON Schema（字段级契约）</x:v>
      </x:c>
    </x:row>
    <x:row r="2" ht="30" customHeight="1">
      <x:c r="A2" s="89" t="str">
        <x:v>实现时由 strict Pydantic/ContractModel 生成正式 JSON Schema，禁止在 LLM 层复制 Trip、AssistanceProfile、Constraint、Provider 或 PlanVersion 模型。所有输出 extra=forbid。</x:v>
      </x:c>
      <x:c r="B2" s="90" t="str">
        <x:v>实现时由 strict Pydantic/ContractModel 生成正式 JSON Schema，禁止在 LLM 层复制 Trip、AssistanceProfile、Constraint、Provider 或 PlanVersion 模型。所有输出 extra=forbid。</x:v>
      </x:c>
      <x:c r="C2" s="90" t="str">
        <x:v>实现时由 strict Pydantic/ContractModel 生成正式 JSON Schema，禁止在 LLM 层复制 Trip、AssistanceProfile、Constraint、Provider 或 PlanVersion 模型。所有输出 extra=forbid。</x:v>
      </x:c>
      <x:c r="D2" s="90" t="str">
        <x:v>实现时由 strict Pydantic/ContractModel 生成正式 JSON Schema，禁止在 LLM 层复制 Trip、AssistanceProfile、Constraint、Provider 或 PlanVersion 模型。所有输出 extra=forbid。</x:v>
      </x:c>
      <x:c r="E2" s="90" t="str">
        <x:v>实现时由 strict Pydantic/ContractModel 生成正式 JSON Schema，禁止在 LLM 层复制 Trip、AssistanceProfile、Constraint、Provider 或 PlanVersion 模型。所有输出 extra=forbid。</x:v>
      </x:c>
      <x:c r="F2" s="90" t="str">
        <x:v>实现时由 strict Pydantic/ContractModel 生成正式 JSON Schema，禁止在 LLM 层复制 Trip、AssistanceProfile、Constraint、Provider 或 PlanVersion 模型。所有输出 extra=forbid。</x:v>
      </x:c>
      <x:c r="G2" s="90" t="str">
        <x:v>实现时由 strict Pydantic/ContractModel 生成正式 JSON Schema，禁止在 LLM 层复制 Trip、AssistanceProfile、Constraint、Provider 或 PlanVersion 模型。所有输出 extra=forbid。</x:v>
      </x:c>
      <x:c r="H2" s="91" t="str">
        <x:v>实现时由 strict Pydantic/ContractModel 生成正式 JSON Schema，禁止在 LLM 层复制 Trip、AssistanceProfile、Constraint、Provider 或 PlanVersion 模型。所有输出 extra=forbid。</x:v>
      </x:c>
    </x:row>
    <x:row r="4" ht="32" customHeight="1">
      <x:c r="A4" s="104" t="str">
        <x:v>契约</x:v>
      </x:c>
      <x:c r="B4" s="104" t="str">
        <x:v>方向</x:v>
      </x:c>
      <x:c r="C4" s="104" t="str">
        <x:v>JSON Path</x:v>
      </x:c>
      <x:c r="D4" s="104" t="str">
        <x:v>类型</x:v>
      </x:c>
      <x:c r="E4" s="104" t="str">
        <x:v>必填</x:v>
      </x:c>
      <x:c r="F4" s="104" t="str">
        <x:v>约束/枚举</x:v>
      </x:c>
      <x:c r="G4" s="104" t="str">
        <x:v>含义</x:v>
      </x:c>
      <x:c r="H4" s="104" t="str">
        <x:v>程序守卫</x:v>
      </x:c>
    </x:row>
    <x:row r="5" ht="44" customHeight="1">
      <x:c r="A5" s="108" t="str">
        <x:v>TripUnderstandingRequest</x:v>
      </x:c>
      <x:c r="B5" s="108" t="str">
        <x:v>input</x:v>
      </x:c>
      <x:c r="C5" s="108" t="str">
        <x:v>schemaVersion</x:v>
      </x:c>
      <x:c r="D5" s="108" t="str">
        <x:v>string</x:v>
      </x:c>
      <x:c r="E5" s="108" t="str">
        <x:v>是</x:v>
      </x:c>
      <x:c r="F5" s="108" t="str">
        <x:v>const '1.0'</x:v>
      </x:c>
      <x:c r="G5" s="108" t="str">
        <x:v>契约版本</x:v>
      </x:c>
      <x:c r="H5" s="108" t="str">
        <x:v>不匹配即拒绝</x:v>
      </x:c>
    </x:row>
    <x:row r="6" ht="44" customHeight="1">
      <x:c r="A6" s="108" t="str">
        <x:v>TripUnderstandingRequest</x:v>
      </x:c>
      <x:c r="B6" s="108" t="str">
        <x:v>input</x:v>
      </x:c>
      <x:c r="C6" s="108" t="str">
        <x:v>referenceDate</x:v>
      </x:c>
      <x:c r="D6" s="108" t="str">
        <x:v>string(date)</x:v>
      </x:c>
      <x:c r="E6" s="108" t="str">
        <x:v>是</x:v>
      </x:c>
      <x:c r="F6" s="108" t="str">
        <x:v>服务端注入</x:v>
      </x:c>
      <x:c r="G6" s="108" t="str">
        <x:v>相对日期计算基准</x:v>
      </x:c>
      <x:c r="H6" s="108" t="str">
        <x:v>禁止模型自行取今天</x:v>
      </x:c>
    </x:row>
    <x:row r="7" ht="44" customHeight="1">
      <x:c r="A7" s="108" t="str">
        <x:v>TripUnderstandingRequest</x:v>
      </x:c>
      <x:c r="B7" s="108" t="str">
        <x:v>input</x:v>
      </x:c>
      <x:c r="C7" s="108" t="str">
        <x:v>rawConversation</x:v>
      </x:c>
      <x:c r="D7" s="108" t="str">
        <x:v>array&lt;object&gt;</x:v>
      </x:c>
      <x:c r="E7" s="108" t="str">
        <x:v>是</x:v>
      </x:c>
      <x:c r="F7" s="108" t="str">
        <x:v>1..20；role=user/assistant</x:v>
      </x:c>
      <x:c r="G7" s="108" t="str">
        <x:v>原始对话与固定问题答案</x:v>
      </x:c>
      <x:c r="H7" s="108" t="str">
        <x:v>日志仅保存脱敏摘要</x:v>
      </x:c>
    </x:row>
    <x:row r="8" ht="44" customHeight="1">
      <x:c r="A8" s="108" t="str">
        <x:v>TripUnderstandingRequest</x:v>
      </x:c>
      <x:c r="B8" s="108" t="str">
        <x:v>input</x:v>
      </x:c>
      <x:c r="C8" s="108" t="str">
        <x:v>explicitFields</x:v>
      </x:c>
      <x:c r="D8" s="108" t="str">
        <x:v>object</x:v>
      </x:c>
      <x:c r="E8" s="108" t="str">
        <x:v>否</x:v>
      </x:c>
      <x:c r="F8" s="108" t="str">
        <x:v>复用 TripDraftInput</x:v>
      </x:c>
      <x:c r="G8" s="108" t="str">
        <x:v>结构化表单值</x:v>
      </x:c>
      <x:c r="H8" s="108" t="str">
        <x:v>显式值优先于模型</x:v>
      </x:c>
    </x:row>
    <x:row r="9" ht="44" customHeight="1">
      <x:c r="A9" s="108" t="str">
        <x:v>TripUnderstandingProposal</x:v>
      </x:c>
      <x:c r="B9" s="108" t="str">
        <x:v>output</x:v>
      </x:c>
      <x:c r="C9" s="108" t="str">
        <x:v>schemaVersion</x:v>
      </x:c>
      <x:c r="D9" s="108" t="str">
        <x:v>string</x:v>
      </x:c>
      <x:c r="E9" s="108" t="str">
        <x:v>是</x:v>
      </x:c>
      <x:c r="F9" s="108" t="str">
        <x:v>const '1.0'</x:v>
      </x:c>
      <x:c r="G9" s="108" t="str">
        <x:v>契约版本</x:v>
      </x:c>
      <x:c r="H9" s="108" t="str">
        <x:v>strict/extra=forbid</x:v>
      </x:c>
    </x:row>
    <x:row r="10" ht="44" customHeight="1">
      <x:c r="A10" s="108" t="str">
        <x:v>TripUnderstandingProposal</x:v>
      </x:c>
      <x:c r="B10" s="108" t="str">
        <x:v>output</x:v>
      </x:c>
      <x:c r="C10" s="108" t="str">
        <x:v>draft.city/date/startTime/endTime</x:v>
      </x:c>
      <x:c r="D10" s="108" t="str">
        <x:v>string|null</x:v>
      </x:c>
      <x:c r="E10" s="108" t="str">
        <x:v>是</x:v>
      </x:c>
      <x:c r="F10" s="108" t="str">
        <x:v>日期 YYYY-MM-DD；时间 HH:mm</x:v>
      </x:c>
      <x:c r="G10" s="108" t="str">
        <x:v>旅行时空草稿</x:v>
      </x:c>
      <x:c r="H10" s="108" t="str">
        <x:v>程序再验时间窗</x:v>
      </x:c>
    </x:row>
    <x:row r="11" ht="44" customHeight="1">
      <x:c r="A11" s="108" t="str">
        <x:v>TripUnderstandingProposal</x:v>
      </x:c>
      <x:c r="B11" s="108" t="str">
        <x:v>output</x:v>
      </x:c>
      <x:c r="C11" s="108" t="str">
        <x:v>draft.budgetCents</x:v>
      </x:c>
      <x:c r="D11" s="108" t="str">
        <x:v>integer|null</x:v>
      </x:c>
      <x:c r="E11" s="108" t="str">
        <x:v>是</x:v>
      </x:c>
      <x:c r="F11" s="108" t="str">
        <x:v>&gt;=0</x:v>
      </x:c>
      <x:c r="G11" s="108" t="str">
        <x:v>预算草稿</x:v>
      </x:c>
      <x:c r="H11" s="108" t="str">
        <x:v>程序负责金额合法性</x:v>
      </x:c>
    </x:row>
    <x:row r="12" ht="44" customHeight="1">
      <x:c r="A12" s="108" t="str">
        <x:v>TripUnderstandingProposal</x:v>
      </x:c>
      <x:c r="B12" s="108" t="str">
        <x:v>output</x:v>
      </x:c>
      <x:c r="C12" s="108" t="str">
        <x:v>draft.interests/mustVisit/avoid</x:v>
      </x:c>
      <x:c r="D12" s="108" t="str">
        <x:v>array&lt;string&gt;</x:v>
      </x:c>
      <x:c r="E12" s="108" t="str">
        <x:v>是</x:v>
      </x:c>
      <x:c r="F12" s="108" t="str">
        <x:v>去重；不创建 POI ID</x:v>
      </x:c>
      <x:c r="G12" s="108" t="str">
        <x:v>偏好/必去/拒绝文本</x:v>
      </x:c>
      <x:c r="H12" s="108" t="str">
        <x:v>Provider 解析后才成为事实</x:v>
      </x:c>
    </x:row>
    <x:row r="13" ht="44" customHeight="1">
      <x:c r="A13" s="108" t="str">
        <x:v>TripUnderstandingProposal</x:v>
      </x:c>
      <x:c r="B13" s="108" t="str">
        <x:v>output</x:v>
      </x:c>
      <x:c r="C13" s="108" t="str">
        <x:v>draft.returnRequirement</x:v>
      </x:c>
      <x:c r="D13" s="108" t="str">
        <x:v>string|null</x:v>
      </x:c>
      <x:c r="E13" s="108" t="str">
        <x:v>是</x:v>
      </x:c>
      <x:c r="F13" s="108" t="str">
        <x:v>短文本</x:v>
      </x:c>
      <x:c r="G13" s="108" t="str">
        <x:v>返程要求</x:v>
      </x:c>
      <x:c r="H13" s="108" t="str">
        <x:v>程序映射时间约束</x:v>
      </x:c>
    </x:row>
    <x:row r="14" ht="44" customHeight="1">
      <x:c r="A14" s="108" t="str">
        <x:v>TripUnderstandingProposal</x:v>
      </x:c>
      <x:c r="B14" s="108" t="str">
        <x:v>output</x:v>
      </x:c>
      <x:c r="C14" s="108" t="str">
        <x:v>participants</x:v>
      </x:c>
      <x:c r="D14" s="108" t="str">
        <x:v>array&lt;object&gt;</x:v>
      </x:c>
      <x:c r="E14" s="108" t="str">
        <x:v>是</x:v>
      </x:c>
      <x:c r="F14" s="108" t="str">
        <x:v>1..3；无正式 UUID</x:v>
      </x:c>
      <x:c r="G14" s="108" t="str">
        <x:v>成员卡草稿</x:v>
      </x:c>
      <x:c r="H14" s="108" t="str">
        <x:v>程序生成 participantId</x:v>
      </x:c>
    </x:row>
    <x:row r="15" ht="44" customHeight="1">
      <x:c r="A15" s="108" t="str">
        <x:v>TripUnderstandingProposal</x:v>
      </x:c>
      <x:c r="B15" s="108" t="str">
        <x:v>output</x:v>
      </x:c>
      <x:c r="C15" s="108" t="str">
        <x:v>participants[].assistanceDraft</x:v>
      </x:c>
      <x:c r="D15" s="108" t="str">
        <x:v>object|null</x:v>
      </x:c>
      <x:c r="E15" s="108" t="str">
        <x:v>是</x:v>
      </x:c>
      <x:c r="F15" s="108" t="str">
        <x:v>presetHint+结构化候选</x:v>
      </x:c>
      <x:c r="G15" s="108" t="str">
        <x:v>关怀提示</x:v>
      </x:c>
      <x:c r="H15" s="108" t="str">
        <x:v>用户必须用预设/表单确认</x:v>
      </x:c>
    </x:row>
    <x:row r="16" ht="44" customHeight="1">
      <x:c r="A16" s="108" t="str">
        <x:v>TripUnderstandingProposal</x:v>
      </x:c>
      <x:c r="B16" s="108" t="str">
        <x:v>output</x:v>
      </x:c>
      <x:c r="C16" s="108" t="str">
        <x:v>fieldEvidence</x:v>
      </x:c>
      <x:c r="D16" s="108" t="str">
        <x:v>array&lt;object&gt;</x:v>
      </x:c>
      <x:c r="E16" s="108" t="str">
        <x:v>是</x:v>
      </x:c>
      <x:c r="F16" s="108" t="str">
        <x:v>fieldPath+sourceText</x:v>
      </x:c>
      <x:c r="G16" s="108" t="str">
        <x:v>字段来自哪段原话</x:v>
      </x:c>
      <x:c r="H16" s="108" t="str">
        <x:v>可追溯但不直接确认</x:v>
      </x:c>
    </x:row>
    <x:row r="17" ht="44" customHeight="1">
      <x:c r="A17" s="108" t="str">
        <x:v>TripUnderstandingProposal</x:v>
      </x:c>
      <x:c r="B17" s="108" t="str">
        <x:v>output</x:v>
      </x:c>
      <x:c r="C17" s="108" t="str">
        <x:v>missingFields</x:v>
      </x:c>
      <x:c r="D17" s="108" t="str">
        <x:v>array&lt;string&gt;</x:v>
      </x:c>
      <x:c r="E17" s="108" t="str">
        <x:v>是</x:v>
      </x:c>
      <x:c r="F17" s="108" t="str">
        <x:v>允许字段路径</x:v>
      </x:c>
      <x:c r="G17" s="108" t="str">
        <x:v>缺失字段</x:v>
      </x:c>
      <x:c r="H17" s="108" t="str">
        <x:v>转预设问题</x:v>
      </x:c>
    </x:row>
    <x:row r="18" ht="44" customHeight="1">
      <x:c r="A18" s="108" t="str">
        <x:v>TripUnderstandingProposal</x:v>
      </x:c>
      <x:c r="B18" s="108" t="str">
        <x:v>output</x:v>
      </x:c>
      <x:c r="C18" s="108" t="str">
        <x:v>ambiguities/conflicts</x:v>
      </x:c>
      <x:c r="D18" s="108" t="str">
        <x:v>array&lt;object&gt;</x:v>
      </x:c>
      <x:c r="E18" s="108" t="str">
        <x:v>是</x:v>
      </x:c>
      <x:c r="F18" s="108" t="str">
        <x:v>fieldPath+options/reason</x:v>
      </x:c>
      <x:c r="G18" s="108" t="str">
        <x:v>歧义/冲突</x:v>
      </x:c>
      <x:c r="H18" s="108" t="str">
        <x:v>未解决阻止规划</x:v>
      </x:c>
    </x:row>
    <x:row r="19" ht="44" customHeight="1">
      <x:c r="A19" s="108" t="str">
        <x:v>TripUnderstandingProposal</x:v>
      </x:c>
      <x:c r="B19" s="108" t="str">
        <x:v>output</x:v>
      </x:c>
      <x:c r="C19" s="108" t="str">
        <x:v>confirmationQuestions</x:v>
      </x:c>
      <x:c r="D19" s="108" t="str">
        <x:v>array&lt;object&gt;</x:v>
      </x:c>
      <x:c r="E19" s="108" t="str">
        <x:v>是</x:v>
      </x:c>
      <x:c r="F19" s="108" t="str">
        <x:v>questionKey+choices</x:v>
      </x:c>
      <x:c r="G19" s="108" t="str">
        <x:v>简短确认问题</x:v>
      </x:c>
      <x:c r="H19" s="108" t="str">
        <x:v>前端按固定 key 渲染</x:v>
      </x:c>
    </x:row>
    <x:row r="20" ht="44" customHeight="1">
      <x:c r="A20" s="108" t="str">
        <x:v>ProviderCandidateSelectionRequest</x:v>
      </x:c>
      <x:c r="B20" s="108" t="str">
        <x:v>input</x:v>
      </x:c>
      <x:c r="C20" s="108" t="str">
        <x:v>schemaVersion/traceId</x:v>
      </x:c>
      <x:c r="D20" s="108" t="str">
        <x:v>string</x:v>
      </x:c>
      <x:c r="E20" s="108" t="str">
        <x:v>是</x:v>
      </x:c>
      <x:c r="F20" s="108" t="str">
        <x:v>服务端生成</x:v>
      </x:c>
      <x:c r="G20" s="108" t="str">
        <x:v>调用追踪</x:v>
      </x:c>
      <x:c r="H20" s="108" t="str">
        <x:v>不可作为业务状态</x:v>
      </x:c>
    </x:row>
    <x:row r="21" ht="44" customHeight="1">
      <x:c r="A21" s="108" t="str">
        <x:v>ProviderCandidateSelectionRequest</x:v>
      </x:c>
      <x:c r="B21" s="108" t="str">
        <x:v>input</x:v>
      </x:c>
      <x:c r="C21" s="108" t="str">
        <x:v>confirmedTripSummary</x:v>
      </x:c>
      <x:c r="D21" s="108" t="str">
        <x:v>object</x:v>
      </x:c>
      <x:c r="E21" s="108" t="str">
        <x:v>是</x:v>
      </x:c>
      <x:c r="F21" s="108" t="str">
        <x:v>脱敏、只读</x:v>
      </x:c>
      <x:c r="G21" s="108" t="str">
        <x:v>已确认意图/关怀摘要</x:v>
      </x:c>
      <x:c r="H21" s="108" t="str">
        <x:v>来自权威服务端快照</x:v>
      </x:c>
    </x:row>
    <x:row r="22" ht="44" customHeight="1">
      <x:c r="A22" s="108" t="str">
        <x:v>ProviderCandidateSelectionRequest</x:v>
      </x:c>
      <x:c r="B22" s="108" t="str">
        <x:v>input</x:v>
      </x:c>
      <x:c r="C22" s="108" t="str">
        <x:v>candidateFacts</x:v>
      </x:c>
      <x:c r="D22" s="108" t="str">
        <x:v>array&lt;object&gt;</x:v>
      </x:c>
      <x:c r="E22" s="108" t="str">
        <x:v>是</x:v>
      </x:c>
      <x:c r="F22" s="108" t="str">
        <x:v>6..8；FactRef+已知属性</x:v>
      </x:c>
      <x:c r="G22" s="108" t="str">
        <x:v>Provider 候选白名单</x:v>
      </x:c>
      <x:c r="H22" s="108" t="str">
        <x:v>坐标/价格/路线不可由模型补</x:v>
      </x:c>
    </x:row>
    <x:row r="23" ht="44" customHeight="1">
      <x:c r="A23" s="108" t="str">
        <x:v>ProviderCandidateSelectionRequest</x:v>
      </x:c>
      <x:c r="B23" s="108" t="str">
        <x:v>input</x:v>
      </x:c>
      <x:c r="C23" s="108" t="str">
        <x:v>allowedTaskCount</x:v>
      </x:c>
      <x:c r="D23" s="108" t="str">
        <x:v>array&lt;integer&gt;</x:v>
      </x:c>
      <x:c r="E23" s="108" t="str">
        <x:v>是</x:v>
      </x:c>
      <x:c r="F23" s="108" t="str">
        <x:v>const [3,4]</x:v>
      </x:c>
      <x:c r="G23" s="108" t="str">
        <x:v>任务数量边界</x:v>
      </x:c>
      <x:c r="H23" s="108" t="str">
        <x:v>程序最终校验</x:v>
      </x:c>
    </x:row>
    <x:row r="24" ht="44" customHeight="1">
      <x:c r="A24" s="108" t="str">
        <x:v>ProviderCandidateSelectionProposal</x:v>
      </x:c>
      <x:c r="B24" s="108" t="str">
        <x:v>output</x:v>
      </x:c>
      <x:c r="C24" s="108" t="str">
        <x:v>schemaVersion</x:v>
      </x:c>
      <x:c r="D24" s="108" t="str">
        <x:v>string</x:v>
      </x:c>
      <x:c r="E24" s="108" t="str">
        <x:v>是</x:v>
      </x:c>
      <x:c r="F24" s="108" t="str">
        <x:v>const '1.0'</x:v>
      </x:c>
      <x:c r="G24" s="108" t="str">
        <x:v>契约版本</x:v>
      </x:c>
      <x:c r="H24" s="108" t="str">
        <x:v>strict/extra=forbid</x:v>
      </x:c>
    </x:row>
    <x:row r="25" ht="44" customHeight="1">
      <x:c r="A25" s="108" t="str">
        <x:v>ProviderCandidateSelectionProposal</x:v>
      </x:c>
      <x:c r="B25" s="108" t="str">
        <x:v>output</x:v>
      </x:c>
      <x:c r="C25" s="108" t="str">
        <x:v>selectedPlaceFactIds</x:v>
      </x:c>
      <x:c r="D25" s="108" t="str">
        <x:v>array&lt;string&gt;</x:v>
      </x:c>
      <x:c r="E25" s="108" t="str">
        <x:v>是</x:v>
      </x:c>
      <x:c r="F25" s="108" t="str">
        <x:v>2..3；唯一；必须在白名单</x:v>
      </x:c>
      <x:c r="G25" s="108" t="str">
        <x:v>中间地点与顺序提议</x:v>
      </x:c>
      <x:c r="H25" s="108" t="str">
        <x:v>越界/重复直接丢弃</x:v>
      </x:c>
    </x:row>
    <x:row r="26" ht="44" customHeight="1">
      <x:c r="A26" s="108" t="str">
        <x:v>ProviderCandidateSelectionProposal</x:v>
      </x:c>
      <x:c r="B26" s="108" t="str">
        <x:v>output</x:v>
      </x:c>
      <x:c r="C26" s="108" t="str">
        <x:v>selectionRationale</x:v>
      </x:c>
      <x:c r="D26" s="108" t="str">
        <x:v>string</x:v>
      </x:c>
      <x:c r="E26" s="108" t="str">
        <x:v>是</x:v>
      </x:c>
      <x:c r="F26" s="108" t="str">
        <x:v>&lt;=240 字；只引用已知事实</x:v>
      </x:c>
      <x:c r="G26" s="108" t="str">
        <x:v>用户解释草稿</x:v>
      </x:c>
      <x:c r="H26" s="108" t="str">
        <x:v>程序不得据此改事实</x:v>
      </x:c>
    </x:row>
    <x:row r="27" ht="44" customHeight="1">
      <x:c r="A27" s="108" t="str">
        <x:v>ProviderCandidateSelectionProposal</x:v>
      </x:c>
      <x:c r="B27" s="108" t="str">
        <x:v>output</x:v>
      </x:c>
      <x:c r="C27" s="108" t="str">
        <x:v>riskNotes</x:v>
      </x:c>
      <x:c r="D27" s="108" t="str">
        <x:v>array&lt;string&gt;</x:v>
      </x:c>
      <x:c r="E27" s="108" t="str">
        <x:v>是</x:v>
      </x:c>
      <x:c r="F27" s="108" t="str">
        <x:v>只描述 UNKNOWN/待确认</x:v>
      </x:c>
      <x:c r="G27" s="108" t="str">
        <x:v>风险提示</x:v>
      </x:c>
      <x:c r="H27" s="108" t="str">
        <x:v>不得写“保证可达”</x:v>
      </x:c>
    </x:row>
    <x:row r="28" ht="44" customHeight="1">
      <x:c r="A28" s="108" t="str">
        <x:v>ProviderCandidateSelectionProposal</x:v>
      </x:c>
      <x:c r="B28" s="108" t="str">
        <x:v>output</x:v>
      </x:c>
      <x:c r="C28" s="108" t="str">
        <x:v>forbidden</x:v>
      </x:c>
      <x:c r="D28" s="108" t="str">
        <x:v>—</x:v>
      </x:c>
      <x:c r="E28" s="108" t="str">
        <x:v>—</x:v>
      </x:c>
      <x:c r="F28" s="108" t="str">
        <x:v>无 cost/route/score/PASS/planId/status</x:v>
      </x:c>
      <x:c r="G28" s="108" t="str">
        <x:v>明确禁止字段</x:v>
      </x:c>
      <x:c r="H28" s="108" t="str">
        <x:v>任一 extra 字段即拒绝</x:v>
      </x:c>
    </x:row>
    <x:row r="29" ht="44" customHeight="1">
      <x:c r="A29" s="108" t="str">
        <x:v>ExecutionEventParseRequest</x:v>
      </x:c>
      <x:c r="B29" s="108" t="str">
        <x:v>input</x:v>
      </x:c>
      <x:c r="C29" s="108" t="str">
        <x:v>rawText/taskId/currentTask</x:v>
      </x:c>
      <x:c r="D29" s="108" t="str">
        <x:v>object</x:v>
      </x:c>
      <x:c r="E29" s="108" t="str">
        <x:v>是</x:v>
      </x:c>
      <x:c r="F29" s="108" t="str">
        <x:v>执行期；不计 90 秒规划主链</x:v>
      </x:c>
      <x:c r="G29" s="108" t="str">
        <x:v>迟到/疲劳口语输入</x:v>
      </x:c>
      <x:c r="H29" s="108" t="str">
        <x:v>失败退固定表单</x:v>
      </x:c>
    </x:row>
    <x:row r="30" ht="44" customHeight="1">
      <x:c r="A30" s="108" t="str">
        <x:v>ExecutionEventDraft</x:v>
      </x:c>
      <x:c r="B30" s="108" t="str">
        <x:v>output</x:v>
      </x:c>
      <x:c r="C30" s="108" t="str">
        <x:v>eventType</x:v>
      </x:c>
      <x:c r="D30" s="108" t="str">
        <x:v>enum</x:v>
      </x:c>
      <x:c r="E30" s="108" t="str">
        <x:v>是</x:v>
      </x:c>
      <x:c r="F30" s="108" t="str">
        <x:v>LATE|FATIGUE</x:v>
      </x:c>
      <x:c r="G30" s="108" t="str">
        <x:v>事件类型草稿</x:v>
      </x:c>
      <x:c r="H30" s="108" t="str">
        <x:v>程序确认后再写事件</x:v>
      </x:c>
    </x:row>
    <x:row r="31" ht="44" customHeight="1">
      <x:c r="A31" s="108" t="str">
        <x:v>ExecutionEventDraft</x:v>
      </x:c>
      <x:c r="B31" s="108" t="str">
        <x:v>output</x:v>
      </x:c>
      <x:c r="C31" s="108" t="str">
        <x:v>lateMinutes</x:v>
      </x:c>
      <x:c r="D31" s="108" t="str">
        <x:v>integer|null</x:v>
      </x:c>
      <x:c r="E31" s="108" t="str">
        <x:v>是</x:v>
      </x:c>
      <x:c r="F31" s="108" t="str">
        <x:v>LATE 时 1..240</x:v>
      </x:c>
      <x:c r="G31" s="108" t="str">
        <x:v>迟到分钟</x:v>
      </x:c>
      <x:c r="H31" s="108" t="str">
        <x:v>非法/缺失继续确认</x:v>
      </x:c>
    </x:row>
    <x:row r="32" ht="44" customHeight="1">
      <x:c r="A32" s="108" t="str">
        <x:v>ExecutionEventDraft</x:v>
      </x:c>
      <x:c r="B32" s="108" t="str">
        <x:v>output</x:v>
      </x:c>
      <x:c r="C32" s="108" t="str">
        <x:v>fatigueLevel</x:v>
      </x:c>
      <x:c r="D32" s="108" t="str">
        <x:v>enum|null</x:v>
      </x:c>
      <x:c r="E32" s="108" t="str">
        <x:v>是</x:v>
      </x:c>
      <x:c r="F32" s="108" t="str">
        <x:v>MILD|MODERATE|SEVERE</x:v>
      </x:c>
      <x:c r="G32" s="108" t="str">
        <x:v>疲劳等级</x:v>
      </x:c>
      <x:c r="H32" s="108" t="str">
        <x:v>程序映射阈值</x:v>
      </x:c>
    </x:row>
    <x:row r="33" ht="44" customHeight="1">
      <x:c r="A33" s="108" t="str">
        <x:v>ExecutionEventDraft</x:v>
      </x:c>
      <x:c r="B33" s="108" t="str">
        <x:v>output</x:v>
      </x:c>
      <x:c r="C33" s="108" t="str">
        <x:v>clarificationQuestions</x:v>
      </x:c>
      <x:c r="D33" s="108" t="str">
        <x:v>array&lt;object&gt;</x:v>
      </x:c>
      <x:c r="E33" s="108" t="str">
        <x:v>是</x:v>
      </x:c>
      <x:c r="F33" s="108" t="str">
        <x:v>固定 questionKey</x:v>
      </x:c>
      <x:c r="G33" s="108" t="str">
        <x:v>确认问题</x:v>
      </x:c>
      <x:c r="H33" s="108" t="str">
        <x:v>模型不得输出 Constraint/版本状态</x:v>
      </x:c>
    </x:row>
    <x:row r="35" ht="25" customHeight="1">
      <x:c r="A35" s="97" t="str">
        <x:v>固定输出骨架（字段存在但值可为 null；不得只返回自然语言）</x:v>
      </x:c>
      <x:c r="B35" s="98" t="str">
        <x:v>固定输出骨架（字段存在但值可为 null；不得只返回自然语言）</x:v>
      </x:c>
      <x:c r="C35" s="98" t="str">
        <x:v>固定输出骨架（字段存在但值可为 null；不得只返回自然语言）</x:v>
      </x:c>
      <x:c r="D35" s="98" t="str">
        <x:v>固定输出骨架（字段存在但值可为 null；不得只返回自然语言）</x:v>
      </x:c>
      <x:c r="E35" s="98" t="str">
        <x:v>固定输出骨架（字段存在但值可为 null；不得只返回自然语言）</x:v>
      </x:c>
      <x:c r="F35" s="98" t="str">
        <x:v>固定输出骨架（字段存在但值可为 null；不得只返回自然语言）</x:v>
      </x:c>
      <x:c r="G35" s="98" t="str">
        <x:v>固定输出骨架（字段存在但值可为 null；不得只返回自然语言）</x:v>
      </x:c>
      <x:c r="H35" s="99" t="str">
        <x:v>固定输出骨架（字段存在但值可为 null；不得只返回自然语言）</x:v>
      </x:c>
    </x:row>
    <x:row r="36">
      <x:c r="A36" s="181" t="str">
        <x:v>调用1：{"schemaVersion":"1.0","draft":{"city":null,"date":null,"startTime":null,"endTime":null,"budgetCents":null,"interests":[],"mustVisit":[],"avoid":[],"returnRequirement":null},"participants":[],"fieldEvidence":[],"missingFields":[],"ambiguities":[],"conflicts":[],"confirmationQuestions":[]}
调用2：{"schemaVersion":"1.0","selectedPlaceFactIds":[],"selectionRationale":"","riskNotes":[]}
执行期：{"schemaVersion":"1.0","eventType":"LATE|FATIGUE","taskId":"","lateMinutes":null,"fatigueLevel":null,"clarificationQuestions":[]}</x:v>
      </x:c>
      <x:c r="B36" s="182"/>
      <x:c r="C36" s="182"/>
      <x:c r="D36" s="182"/>
      <x:c r="E36" s="182"/>
      <x:c r="F36" s="182"/>
      <x:c r="G36" s="182"/>
      <x:c r="H36" s="183"/>
    </x:row>
    <x:row r="37">
      <x:c r="A37" s="184"/>
      <x:c r="B37" s="185"/>
      <x:c r="C37" s="185"/>
      <x:c r="D37" s="185"/>
      <x:c r="E37" s="185"/>
      <x:c r="F37" s="185"/>
      <x:c r="G37" s="185"/>
      <x:c r="H37" s="186"/>
    </x:row>
    <x:row r="38">
      <x:c r="A38" s="184"/>
      <x:c r="B38" s="185"/>
      <x:c r="C38" s="185"/>
      <x:c r="D38" s="185"/>
      <x:c r="E38" s="185"/>
      <x:c r="F38" s="185"/>
      <x:c r="G38" s="185"/>
      <x:c r="H38" s="186"/>
    </x:row>
    <x:row r="39">
      <x:c r="A39" s="184"/>
      <x:c r="B39" s="185"/>
      <x:c r="C39" s="185"/>
      <x:c r="D39" s="185"/>
      <x:c r="E39" s="185"/>
      <x:c r="F39" s="185"/>
      <x:c r="G39" s="185"/>
      <x:c r="H39" s="186"/>
    </x:row>
    <x:row r="40">
      <x:c r="A40" s="187"/>
      <x:c r="B40" s="188"/>
      <x:c r="C40" s="188"/>
      <x:c r="D40" s="188"/>
      <x:c r="E40" s="188"/>
      <x:c r="F40" s="188"/>
      <x:c r="G40" s="188"/>
      <x:c r="H40" s="189"/>
    </x:row>
    <x:row r="42">
      <x:c r="A42" s="209" t="str">
        <x:v>禁止字段/写入：Constraint.hardness/scope/threshold、HARD PASS、价格/坐标/路线/设施/Provenance、满意度/satisfactionLoss、planId、PlanVersion.status、CURRENT/CONFIRMED、Diff。若模型输出任一额外字段，整份 proposal 拒绝并走确定性降级。</x:v>
      </x:c>
      <x:c r="B42" s="210"/>
      <x:c r="C42" s="210"/>
      <x:c r="D42" s="210"/>
      <x:c r="E42" s="210"/>
      <x:c r="F42" s="210"/>
      <x:c r="G42" s="210"/>
      <x:c r="H42" s="211"/>
    </x:row>
    <x:row r="43">
      <x:c r="A43" s="212"/>
      <x:c r="B43" s="213"/>
      <x:c r="C43" s="213"/>
      <x:c r="D43" s="213"/>
      <x:c r="E43" s="213"/>
      <x:c r="F43" s="213"/>
      <x:c r="G43" s="213"/>
      <x:c r="H43" s="214"/>
    </x:row>
    <x:row r="44">
      <x:c r="A44" s="212"/>
      <x:c r="B44" s="213"/>
      <x:c r="C44" s="213"/>
      <x:c r="D44" s="213"/>
      <x:c r="E44" s="213"/>
      <x:c r="F44" s="213"/>
      <x:c r="G44" s="213"/>
      <x:c r="H44" s="214"/>
    </x:row>
    <x:row r="45">
      <x:c r="A45" s="215"/>
      <x:c r="B45" s="216"/>
      <x:c r="C45" s="216"/>
      <x:c r="D45" s="216"/>
      <x:c r="E45" s="216"/>
      <x:c r="F45" s="216"/>
      <x:c r="G45" s="216"/>
      <x:c r="H45" s="217"/>
    </x:row>
  </x:sheetData>
  <x:mergeCells>
    <x:mergeCell ref="A1:H1"/>
    <x:mergeCell ref="A2:H2"/>
    <x:mergeCell ref="A35:H35"/>
    <x:mergeCell ref="A36:H40"/>
    <x:mergeCell ref="A42:H45"/>
  </x:mergeCells>
  <x:printOptions horizontalCentered="0" verticalCentered="0" gridLines="0" headings="0"/>
  <x:pageMargins left="0.3" right="0.3" top="0.5" bottom="0.5" header="0.2" footer="0.2"/>
  <x:pageSetup paperSize="9" orientation="landscape" fitToWidth="1" fitToHeight="0" blackAndWhite="0" draft="0"/>
  <x:headerFooter>
    <x:oddFooter>&amp;L行知旅伴 V2.3&amp;R第 &amp;P / &amp;N 页</x:oddFooter>
  </x:headerFooter>
  <x:tableParts count="1">
    <x:tablePart xmlns:r="http://schemas.openxmlformats.org/officeDocument/2006/relationships" r:id="R27c70212e4074222"/>
  </x:tableParts>
</x:worksheet>
</file>