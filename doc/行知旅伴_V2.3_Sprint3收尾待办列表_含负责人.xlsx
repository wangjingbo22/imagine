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6670289ad54a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rint3收尾待办" sheetId="1" r:id="Raacc3aa5bfdc4d12"/>
    <x:sheet xmlns:r="http://schemas.openxmlformats.org/officeDocument/2006/relationships" name="迁移说明" sheetId="2" r:id="Raab310d0ff2f42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9">
    <x:font>
      <x:sz val="11"/>
      <x:name val="Carlito"/>
    </x:font>
    <x:font>
      <x:b/>
      <x:sz val="16"/>
      <x:color rgb="FFFFFFFF"/>
      <x:name val="Carlito"/>
    </x:font>
    <x:font>
      <x:sz val="11"/>
      <x:color rgb="FF1F1F1F"/>
      <x:name val="Carlito"/>
    </x:font>
    <x:font>
      <x:b/>
      <x:sz val="11"/>
      <x:color rgb="FF1F4E78"/>
      <x:name val="Carlito"/>
    </x:font>
    <x:font>
      <x:b/>
      <x:sz val="12"/>
      <x:color rgb="FF1F1F1F"/>
      <x:name val="Carlito"/>
    </x:font>
    <x:font>
      <x:b/>
      <x:sz val="11"/>
      <x:color rgb="FFFFFFFF"/>
      <x:name val="Carlito"/>
    </x:font>
    <x:font>
      <x:sz val="11"/>
      <x:color rgb="FF1F4E78"/>
      <x:name val="Carlito"/>
    </x:font>
    <x:font>
      <x:b/>
      <x:sz val="11"/>
      <x:color rgb="FF7F6000"/>
      <x:name val="Carlito"/>
    </x:font>
    <x:font>
      <x:b/>
      <x:sz val="15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</x:fills>
  <x:borders count="16">
    <x:border/>
    <x:border>
      <x:left style="thin">
        <x:color rgb="FF9FBAD0"/>
      </x:left>
      <x:top style="thin">
        <x:color rgb="FF9FBAD0"/>
      </x:top>
    </x:border>
    <x:border>
      <x:top style="thin">
        <x:color rgb="FF9FBAD0"/>
      </x:top>
    </x:border>
    <x:border>
      <x:right style="thin">
        <x:color rgb="FF9FBAD0"/>
      </x:right>
      <x:top style="thin">
        <x:color rgb="FF9FBAD0"/>
      </x:top>
    </x:border>
    <x:border>
      <x:left style="thin">
        <x:color rgb="FF9FBAD0"/>
      </x:left>
      <x:bottom style="thin">
        <x:color rgb="FF9FBAD0"/>
      </x:bottom>
    </x:border>
    <x:border>
      <x:bottom style="thin">
        <x:color rgb="FF9FBAD0"/>
      </x:bottom>
    </x:border>
    <x:border>
      <x:right style="thin">
        <x:color rgb="FF9FBAD0"/>
      </x:right>
      <x:bottom style="thin">
        <x:color rgb="FF9FBAD0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7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4" fillId="4" borderId="4" xfId="0" applyNumberFormat="1" applyFont="1" applyFill="1" applyBorder="1" applyAlignment="1">
      <x:alignment horizontal="center" wrapText="1"/>
    </x:xf>
    <x:xf numFmtId="0" fontId="4" fillId="4" borderId="5" xfId="0" applyNumberFormat="1" applyFont="1" applyFill="1" applyBorder="1" applyAlignment="1">
      <x:alignment horizontal="center" wrapText="1"/>
    </x:xf>
    <x:xf numFmtId="0" fontId="4" fillId="4" borderId="6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horizont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6" fillId="0" borderId="7" xfId="0" applyNumberFormat="1" applyFont="1" applyFill="1" applyBorder="1" applyAlignment="1">
      <x:alignment vertical="top" wrapText="1"/>
    </x:xf>
    <x:xf numFmtId="0" fontId="6" fillId="0" borderId="8" xfId="0" applyNumberFormat="1" applyFont="1" applyFill="1" applyBorder="1" applyAlignment="1">
      <x:alignment vertical="top" wrapText="1"/>
    </x:xf>
    <x:xf numFmtId="0" fontId="6" fillId="0" borderId="10" xfId="0" applyNumberFormat="1" applyFont="1" applyFill="1" applyBorder="1" applyAlignment="1">
      <x:alignment vertical="top" wrapText="1"/>
    </x:xf>
    <x:xf numFmtId="0" fontId="6" fillId="0" borderId="11" xfId="0" applyNumberFormat="1" applyFont="1" applyFill="1" applyBorder="1" applyAlignment="1">
      <x:alignment vertical="top" wrapText="1"/>
    </x:xf>
    <x:xf numFmtId="0" fontId="6" fillId="0" borderId="13" xfId="0" applyNumberFormat="1" applyFont="1" applyFill="1" applyBorder="1" applyAlignment="1">
      <x:alignment vertical="top" wrapText="1"/>
    </x:xf>
    <x:xf numFmtId="0" fontId="6" fillId="0" borderId="14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horizontal="center" vertical="top" wrapText="1"/>
    </x:xf>
    <x:xf numFmtId="0" fontId="0" fillId="0" borderId="11" xfId="0" applyNumberFormat="1" applyFont="1" applyFill="1" applyBorder="1" applyAlignment="1">
      <x:alignment horizontal="center" vertical="top" wrapText="1"/>
    </x:xf>
    <x:xf numFmtId="0" fontId="0" fillId="0" borderId="14" xfId="0" applyNumberFormat="1" applyFont="1" applyFill="1" applyBorder="1" applyAlignment="1">
      <x:alignment horizontal="center" vertical="top" wrapText="1"/>
    </x:xf>
    <x:xf numFmtId="200" fontId="0" fillId="0" borderId="8" xfId="0" applyNumberFormat="1" applyFont="1" applyFill="1" applyBorder="1" applyAlignment="1">
      <x:alignment horizontal="center" vertical="top" wrapText="1"/>
    </x:xf>
    <x:xf numFmtId="200" fontId="0" fillId="0" borderId="11" xfId="0" applyNumberFormat="1" applyFont="1" applyFill="1" applyBorder="1" applyAlignment="1">
      <x:alignment horizontal="center" vertical="top" wrapText="1"/>
    </x:xf>
    <x:xf numFmtId="200" fontId="0" fillId="0" borderId="14" xfId="0" applyNumberFormat="1" applyFont="1" applyFill="1" applyBorder="1" applyAlignment="1">
      <x:alignment horizontal="center" vertical="top" wrapText="1"/>
    </x:xf>
    <x:xf numFmtId="0" fontId="0" fillId="6" borderId="8" xfId="0" applyNumberFormat="1" applyFont="1" applyFill="1" applyBorder="1" applyAlignment="1">
      <x:alignment horizontal="center" vertical="top" wrapText="1"/>
    </x:xf>
    <x:xf numFmtId="0" fontId="0" fillId="6" borderId="11" xfId="0" applyNumberFormat="1" applyFont="1" applyFill="1" applyBorder="1" applyAlignment="1">
      <x:alignment horizontal="center" vertical="top" wrapText="1"/>
    </x:xf>
    <x:xf numFmtId="0" fontId="0" fillId="6" borderId="14" xfId="0" applyNumberFormat="1" applyFont="1" applyFill="1" applyBorder="1" applyAlignment="1">
      <x:alignment horizontal="center" vertical="top" wrapText="1"/>
    </x:xf>
    <x:xf numFmtId="0" fontId="7" fillId="6" borderId="8" xfId="0" applyNumberFormat="1" applyFont="1" applyFill="1" applyBorder="1" applyAlignment="1">
      <x:alignment horizontal="center" vertical="top" wrapText="1"/>
    </x:xf>
    <x:xf numFmtId="0" fontId="7" fillId="6" borderId="11" xfId="0" applyNumberFormat="1" applyFont="1" applyFill="1" applyBorder="1" applyAlignment="1">
      <x:alignment horizontal="center" vertical="top" wrapText="1"/>
    </x:xf>
    <x:xf numFmtId="0" fontId="7" fillId="6" borderId="14" xfId="0" applyNumberFormat="1" applyFont="1" applyFill="1" applyBorder="1" applyAlignment="1">
      <x:alignment horizontal="center" vertical="top" wrapText="1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horizontal="center"/>
    </x:xf>
    <x:xf numFmtId="0" fontId="0" fillId="5" borderId="11" xfId="0" applyNumberFormat="1" applyFont="1" applyFill="1" applyBorder="1" applyAlignment="1">
      <x:alignment vertical="top" wrapText="1"/>
    </x:xf>
    <x:xf numFmtId="0" fontId="5" fillId="5" borderId="11" xfId="0" applyNumberFormat="1" applyFont="1" applyFill="1" applyBorder="1" applyAlignment="1">
      <x:alignment vertical="top" wrapText="1"/>
    </x:xf>
    <x:xf numFmtId="0" fontId="5" fillId="5" borderId="11" xfId="0" applyNumberFormat="1" applyFont="1" applyFill="1" applyBorder="1" applyAlignment="1">
      <x:alignment horizontal="center" vertical="top" wrapText="1"/>
    </x:xf>
    <x:xf numFmtId="0" fontId="0" fillId="3" borderId="11" xfId="0" applyNumberFormat="1" applyFont="1" applyFill="1" applyBorder="1" applyAlignment="1">
      <x:alignment vertical="top" wrapText="1"/>
    </x:xf>
    <x:xf numFmtId="0" fontId="3" fillId="3" borderId="11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color rgb="FF1F4E78"/>
      </x:font>
      <x:fill>
        <x:patternFill>
          <x:bgColor rgb="FFDDEBF7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C00000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0cf6e4b7034453" /><Relationship Type="http://schemas.openxmlformats.org/officeDocument/2006/relationships/theme" Target="/xl/theme/theme1.xml" Id="R5822135fdbb342b9" /><Relationship Type="http://schemas.openxmlformats.org/officeDocument/2006/relationships/sharedStrings" Target="/xl/sharedStrings.xml" Id="Rec37862c00bf41fb" /><Relationship Type="http://schemas.openxmlformats.org/officeDocument/2006/relationships/worksheet" Target="/xl/worksheets/sheet1.xml" Id="Raacc3aa5bfdc4d12" /><Relationship Type="http://schemas.openxmlformats.org/officeDocument/2006/relationships/worksheet" Target="/xl/worksheets/sheet2.xml" Id="Raab310d0ff2f42c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2" hidden="0" customWidth="1"/>
    <x:col min="3" max="3" width="15" hidden="0" customWidth="1"/>
    <x:col min="4" max="4" width="15" hidden="0" customWidth="1"/>
    <x:col min="5" max="5" width="42" hidden="0" customWidth="1"/>
    <x:col min="6" max="6" width="12" hidden="0" customWidth="1"/>
    <x:col min="7" max="7" width="14" hidden="0" customWidth="1"/>
    <x:col min="8" max="8" width="14" hidden="0" customWidth="1"/>
    <x:col min="9" max="9" width="16" hidden="0" customWidth="1"/>
    <x:col min="10" max="10" width="14" hidden="0" customWidth="1"/>
    <x:col min="11" max="11" width="23" hidden="0" customWidth="1"/>
    <x:col min="12" max="12" width="48" hidden="0" customWidth="1"/>
    <x:col min="13" max="13" width="28" hidden="0" customWidth="1"/>
  </x:cols>
  <x:sheetData>
    <x:row r="1" ht="30" customHeight="1">
      <x:c r="A1" s="4" t="str">
        <x:v>行知旅伴 V2.3 · Sprint 3 收尾待办列表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28" customHeight="1">
      <x:c r="A2" s="8" t="str">
        <x:v>来源：原始 Sprint3 计划 + Sprint2 最终验收收尾。Sprint2 开发任务留在 Sprint2；本表只列最终未完成工作。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</x:row>
    <x:row r="4">
      <x:c r="A4" s="14" t="str">
        <x:v>Sprint3 待完成条目数</x:v>
      </x:c>
      <x:c r="B4" s="15"/>
      <x:c r="C4" s="15" t="str">
        <x:v>可计量剩余工时</x:v>
      </x:c>
      <x:c r="D4" s="15"/>
      <x:c r="E4" s="15" t="str">
        <x:v>Sprint2 验收收尾项</x:v>
      </x:c>
      <x:c r="F4" s="15"/>
      <x:c r="G4" s="15" t="str">
        <x:v>原始 Sprint3 PBI 项</x:v>
      </x:c>
      <x:c r="H4" s="16"/>
    </x:row>
    <x:row r="5">
      <x:c r="A5" s="17" t="n">
        <x:f>COUNTA(A8:A16)</x:f>
        <x:v>9</x:v>
      </x:c>
      <x:c r="B5" s="18"/>
      <x:c r="C5" s="18" t="n">
        <x:f>SUM(G8:G16)</x:f>
        <x:v>5</x:v>
      </x:c>
      <x:c r="D5" s="18"/>
      <x:c r="E5" s="18" t="n">
        <x:f>COUNTIF(B8:B16,"Sprint2")</x:f>
        <x:v>2</x:v>
      </x:c>
      <x:c r="F5" s="18"/>
      <x:c r="G5" s="18" t="n">
        <x:f>COUNTIF(B8:B16,"Sprint3")</x:f>
        <x:v>7</x:v>
      </x:c>
      <x:c r="H5" s="19"/>
    </x:row>
    <x:row r="7" ht="28" customHeight="1">
      <x:c r="A7" s="24" t="str">
        <x:v>Task-ID</x:v>
      </x:c>
      <x:c r="B7" s="24" t="str">
        <x:v>来源Sprint</x:v>
      </x:c>
      <x:c r="C7" s="24" t="str">
        <x:v>PBI-ID</x:v>
      </x:c>
      <x:c r="D7" s="24" t="str">
        <x:v>AC-ID</x:v>
      </x:c>
      <x:c r="E7" s="24" t="str">
        <x:v>待收尾工作</x:v>
      </x:c>
      <x:c r="F7" s="24" t="str">
        <x:v>优先级</x:v>
      </x:c>
      <x:c r="G7" s="24" t="str">
        <x:v>剩余工时(h)</x:v>
      </x:c>
      <x:c r="H7" s="24" t="str">
        <x:v>负责人</x:v>
      </x:c>
      <x:c r="I7" s="24" t="str">
        <x:v>迁移前状态</x:v>
      </x:c>
      <x:c r="J7" s="24" t="str">
        <x:v>Sprint3状态</x:v>
      </x:c>
      <x:c r="K7" s="24" t="str">
        <x:v>前置依赖</x:v>
      </x:c>
      <x:c r="L7" s="24" t="str">
        <x:v>验收条件</x:v>
      </x:c>
      <x:c r="M7" s="24" t="str">
        <x:v>迁移依据</x:v>
      </x:c>
    </x:row>
    <x:row r="8" ht="44" customHeight="1">
      <x:c r="A8" s="52" t="str">
        <x:v>S2-T024</x:v>
      </x:c>
      <x:c r="B8" s="53" t="str">
        <x:v>Sprint2</x:v>
      </x:c>
      <x:c r="C8" s="53" t="str">
        <x:v>PBI-13-A</x:v>
      </x:c>
      <x:c r="D8" s="53" t="str">
        <x:v>AC-13-A</x:v>
      </x:c>
      <x:c r="E8" s="44" t="str">
        <x:v>Sprint2 公网黄金路径、375/768 与最终演示验收。</x:v>
      </x:c>
      <x:c r="F8" s="58" t="str">
        <x:v>Must</x:v>
      </x:c>
      <x:c r="G8" s="61" t="n">
        <x:v>2</x:v>
      </x:c>
      <x:c r="H8" s="58" t="str">
        <x:v>林粲涵</x:v>
      </x:c>
      <x:c r="I8" s="58" t="str">
        <x:v>未开始</x:v>
      </x:c>
      <x:c r="J8" s="67" t="str">
        <x:v>待执行</x:v>
      </x:c>
      <x:c r="K8" s="44" t="str">
        <x:v>S2-T001~T023</x:v>
      </x:c>
      <x:c r="L8" s="44" t="str">
        <x:v>真实公网完成六问、推荐、执行、照片、V2、回忆；375/768 无遮挡。</x:v>
      </x:c>
      <x:c r="M8" s="45" t="str">
        <x:v>Sprint2 最终验收尚未执行</x:v>
      </x:c>
    </x:row>
    <x:row r="9" ht="44" customHeight="1">
      <x:c r="A9" s="54" t="str">
        <x:v>S2-T032</x:v>
      </x:c>
      <x:c r="B9" s="55" t="str">
        <x:v>Sprint2</x:v>
      </x:c>
      <x:c r="C9" s="55" t="str">
        <x:v>PBI-17-A</x:v>
      </x:c>
      <x:c r="D9" s="55" t="str">
        <x:v>AC-17-A</x:v>
      </x:c>
      <x:c r="E9" s="47" t="str">
        <x:v>Sprint2 多人公网端到端验收与证据归档。</x:v>
      </x:c>
      <x:c r="F9" s="59" t="str">
        <x:v>Must</x:v>
      </x:c>
      <x:c r="G9" s="62" t="n">
        <x:v>3</x:v>
      </x:c>
      <x:c r="H9" s="59" t="str">
        <x:v>林粲涵</x:v>
      </x:c>
      <x:c r="I9" s="59" t="str">
        <x:v>未开始</x:v>
      </x:c>
      <x:c r="J9" s="68" t="str">
        <x:v>待执行</x:v>
      </x:c>
      <x:c r="K9" s="47" t="str">
        <x:v>S2-T025~T031、T012、T023</x:v>
      </x:c>
      <x:c r="L9" s="47" t="str">
        <x:v>组织者+两成员、冲突处理、唯一推荐、执行、照片、V2、回忆、375/768。</x:v>
      </x:c>
      <x:c r="M9" s="48" t="str">
        <x:v>Sprint2 多人公网验收尚未执行</x:v>
      </x:c>
    </x:row>
    <x:row r="10" ht="44" customHeight="1">
      <x:c r="A10" s="54" t="str">
        <x:v>S3-T001</x:v>
      </x:c>
      <x:c r="B10" s="55" t="str">
        <x:v>Sprint3</x:v>
      </x:c>
      <x:c r="C10" s="55" t="str">
        <x:v>PBI-13-S3</x:v>
      </x:c>
      <x:c r="D10" s="55" t="str">
        <x:v>AC-13-S3</x:v>
      </x:c>
      <x:c r="E10" s="47" t="str">
        <x:v>最终响应式、键盘可访问性与视觉 QA。</x:v>
      </x:c>
      <x:c r="F10" s="59" t="str">
        <x:v>Must</x:v>
      </x:c>
      <x:c r="G10" s="62"/>
      <x:c r="H10" s="59" t="str">
        <x:v>王敬博</x:v>
      </x:c>
      <x:c r="I10" s="59" t="str">
        <x:v>原始Sprint3待办</x:v>
      </x:c>
      <x:c r="J10" s="68" t="str">
        <x:v>待执行</x:v>
      </x:c>
      <x:c r="K10" s="47" t="str">
        <x:v>S2-T024、S2-T032</x:v>
      </x:c>
      <x:c r="L10" s="47" t="str">
        <x:v>375/768/1366/1440 无横向滚动；关键控件有焦点；图片有 altText；动画遵循 reduced-motion。</x:v>
      </x:c>
      <x:c r="M10" s="48" t="str">
        <x:v>原始 Sprint3 计划</x:v>
      </x:c>
    </x:row>
    <x:row r="11" ht="44" customHeight="1">
      <x:c r="A11" s="54" t="str">
        <x:v>S3-T002</x:v>
      </x:c>
      <x:c r="B11" s="55" t="str">
        <x:v>Sprint3</x:v>
      </x:c>
      <x:c r="C11" s="55" t="str">
        <x:v>PBI-14-A</x:v>
      </x:c>
      <x:c r="D11" s="55" t="str">
        <x:v>AC-14-A</x:v>
      </x:c>
      <x:c r="E11" s="47" t="str">
        <x:v>模型、地图、定位、照片存储和数据库异常降级与恢复。</x:v>
      </x:c>
      <x:c r="F11" s="59" t="str">
        <x:v>Must</x:v>
      </x:c>
      <x:c r="G11" s="62"/>
      <x:c r="H11" s="59" t="str">
        <x:v>陈梓元</x:v>
      </x:c>
      <x:c r="I11" s="59" t="str">
        <x:v>原始Sprint3待办</x:v>
      </x:c>
      <x:c r="J11" s="68" t="str">
        <x:v>待执行</x:v>
      </x:c>
      <x:c r="K11" s="47" t="str">
        <x:v>S2-T024、S2-T032</x:v>
      </x:c>
      <x:c r="L11" s="47" t="str">
        <x:v>超时/错误可回表单或同城缓存；定位转人工；照片失败不阻断任务；不破坏唯一 CURRENT；未知事实保持待确认。</x:v>
      </x:c>
      <x:c r="M11" s="48" t="str">
        <x:v>原始 Sprint3 计划</x:v>
      </x:c>
    </x:row>
    <x:row r="12" ht="44" customHeight="1">
      <x:c r="A12" s="54" t="str">
        <x:v>S3-T003</x:v>
      </x:c>
      <x:c r="B12" s="55" t="str">
        <x:v>Sprint3</x:v>
      </x:c>
      <x:c r="C12" s="55" t="str">
        <x:v>PBI-15-A</x:v>
      </x:c>
      <x:c r="D12" s="55" t="str">
        <x:v>AC-15-A</x:v>
      </x:c>
      <x:c r="E12" s="47" t="str">
        <x:v>自动化测试、覆盖率、质量门禁与缺陷清零。</x:v>
      </x:c>
      <x:c r="F12" s="59" t="str">
        <x:v>Must</x:v>
      </x:c>
      <x:c r="G12" s="62"/>
      <x:c r="H12" s="59" t="str">
        <x:v>林粲涵</x:v>
      </x:c>
      <x:c r="I12" s="59" t="str">
        <x:v>原始Sprint3待办</x:v>
      </x:c>
      <x:c r="J12" s="68" t="str">
        <x:v>待执行</x:v>
      </x:c>
      <x:c r="K12" s="47" t="str">
        <x:v>S3-T001、S3-T002</x:v>
      </x:c>
      <x:c r="L12" s="47" t="str">
        <x:v>固定硬约束用例违规为 0；核心规划/关怀/校验/预算/重规划覆盖率不低于 75%；无未关闭 P0/P1。</x:v>
      </x:c>
      <x:c r="M12" s="48" t="str">
        <x:v>原始 Sprint3 计划</x:v>
      </x:c>
    </x:row>
    <x:row r="13" ht="44" customHeight="1">
      <x:c r="A13" s="54" t="str">
        <x:v>S3-T004</x:v>
      </x:c>
      <x:c r="B13" s="55" t="str">
        <x:v>Sprint3</x:v>
      </x:c>
      <x:c r="C13" s="55" t="str">
        <x:v>PBI-15-B</x:v>
      </x:c>
      <x:c r="D13" s="55" t="str">
        <x:v>AC-15-B</x:v>
      </x:c>
      <x:c r="E13" s="47" t="str">
        <x:v>RC 部署、测试报告、演示脚本、回退方案与答辩证据归档。</x:v>
      </x:c>
      <x:c r="F13" s="59" t="str">
        <x:v>Must</x:v>
      </x:c>
      <x:c r="G13" s="62"/>
      <x:c r="H13" s="59" t="str">
        <x:v>王敬博</x:v>
      </x:c>
      <x:c r="I13" s="59" t="str">
        <x:v>原始Sprint3待办</x:v>
      </x:c>
      <x:c r="J13" s="68" t="str">
        <x:v>待执行</x:v>
      </x:c>
      <x:c r="K13" s="47" t="str">
        <x:v>S3-T003</x:v>
      </x:c>
      <x:c r="L13" s="47" t="str">
        <x:v>正式 RC；北京关怀黄金链连续 3 次通过；校园网和手机流量可访问；交付材料齐全。</x:v>
      </x:c>
      <x:c r="M13" s="48" t="str">
        <x:v>原始 Sprint3 计划</x:v>
      </x:c>
    </x:row>
    <x:row r="14" ht="44" customHeight="1">
      <x:c r="A14" s="54" t="str">
        <x:v>S3-T005</x:v>
      </x:c>
      <x:c r="B14" s="55" t="str">
        <x:v>Sprint3</x:v>
      </x:c>
      <x:c r="C14" s="55" t="str">
        <x:v>PBI-16-A</x:v>
      </x:c>
      <x:c r="D14" s="55" t="str">
        <x:v>AC-16-A</x:v>
      </x:c>
      <x:c r="E14" s="47" t="str">
        <x:v>北京、上海、成都三城完整端到端验证。</x:v>
      </x:c>
      <x:c r="F14" s="59" t="str">
        <x:v>Must</x:v>
      </x:c>
      <x:c r="G14" s="62"/>
      <x:c r="H14" s="59" t="str">
        <x:v>张琪</x:v>
      </x:c>
      <x:c r="I14" s="59" t="str">
        <x:v>原始Sprint3待办</x:v>
      </x:c>
      <x:c r="J14" s="68" t="str">
        <x:v>待执行</x:v>
      </x:c>
      <x:c r="K14" s="47" t="str">
        <x:v>S2-T030、S2-T032</x:v>
      </x:c>
      <x:c r="L14" s="47" t="str">
        <x:v>三城完成 CityContext、关怀、地点/路线、唯一 V1、执行事件、V2 决策及回忆；缓存隔离、来源完整。</x:v>
      </x:c>
      <x:c r="M14" s="48" t="str">
        <x:v>原始 Sprint3 计划</x:v>
      </x:c>
    </x:row>
    <x:row r="15" ht="44" customHeight="1">
      <x:c r="A15" s="54" t="str">
        <x:v>S3-T006</x:v>
      </x:c>
      <x:c r="B15" s="55" t="str">
        <x:v>Sprint3</x:v>
      </x:c>
      <x:c r="C15" s="55" t="str">
        <x:v>PBI-16-B</x:v>
      </x:c>
      <x:c r="D15" s="55" t="str">
        <x:v>AC-16-B</x:v>
      </x:c>
      <x:c r="E15" s="47" t="str">
        <x:v>西安、杭州两城在线地点/路线/关怀约束烟测。</x:v>
      </x:c>
      <x:c r="F15" s="59" t="str">
        <x:v>Must</x:v>
      </x:c>
      <x:c r="G15" s="62"/>
      <x:c r="H15" s="59" t="str">
        <x:v>张琪</x:v>
      </x:c>
      <x:c r="I15" s="59" t="str">
        <x:v>原始Sprint3待办</x:v>
      </x:c>
      <x:c r="J15" s="68" t="str">
        <x:v>待执行</x:v>
      </x:c>
      <x:c r="K15" s="47" t="str">
        <x:v>S3-T005</x:v>
      </x:c>
      <x:c r="L15" s="47" t="str">
        <x:v>两城返回同城候选和路线；cityCode 进入请求与缓存键；unknown/estimate 不误判为实时或 0 元。</x:v>
      </x:c>
      <x:c r="M15" s="48" t="str">
        <x:v>原始 Sprint3 计划</x:v>
      </x:c>
    </x:row>
    <x:row r="16" ht="44" customHeight="1">
      <x:c r="A16" s="54" t="str">
        <x:v>S3-T007</x:v>
      </x:c>
      <x:c r="B16" s="55" t="str">
        <x:v>Sprint3</x:v>
      </x:c>
      <x:c r="C16" s="55" t="str">
        <x:v>PBI-17-A</x:v>
      </x:c>
      <x:c r="D16" s="55" t="str">
        <x:v>AC-17-A</x:v>
      </x:c>
      <x:c r="E16" s="47" t="str">
        <x:v>两日 Trip.days[] Schema 序列化、校验、保存与读取兼容验证。</x:v>
      </x:c>
      <x:c r="F16" s="59" t="str">
        <x:v>Should</x:v>
      </x:c>
      <x:c r="G16" s="62"/>
      <x:c r="H16" s="59" t="str">
        <x:v>陈梓元</x:v>
      </x:c>
      <x:c r="I16" s="59" t="str">
        <x:v>原始Sprint3待办</x:v>
      </x:c>
      <x:c r="J16" s="68" t="str">
        <x:v>待执行</x:v>
      </x:c>
      <x:c r="K16" s="47" t="str">
        <x:v>S3-T002、S3-T003</x:v>
      </x:c>
      <x:c r="L16" s="47" t="str">
        <x:v>单日写入 days[0]；2 日 Fixture 的 days[0] 与 days[1] 均完整保留且不串日；不要求多日 UI。</x:v>
      </x:c>
      <x:c r="M16" s="48" t="str">
        <x:v>原始 Sprint3 计划</x:v>
      </x:c>
    </x:row>
    <x:row r="17" ht="44" customHeight="1">
      <x:c r="A17" s="54"/>
      <x:c r="B17" s="55"/>
      <x:c r="C17" s="55"/>
      <x:c r="D17" s="55"/>
      <x:c r="E17" s="47"/>
      <x:c r="F17" s="59"/>
      <x:c r="G17" s="62"/>
      <x:c r="H17" s="59"/>
      <x:c r="I17" s="59"/>
      <x:c r="J17" s="68"/>
      <x:c r="K17" s="47"/>
      <x:c r="L17" s="47"/>
      <x:c r="M17" s="48"/>
    </x:row>
    <x:row r="18" ht="44" customHeight="1">
      <x:c r="A18" s="54"/>
      <x:c r="B18" s="55"/>
      <x:c r="C18" s="55"/>
      <x:c r="D18" s="55"/>
      <x:c r="E18" s="47"/>
      <x:c r="F18" s="59"/>
      <x:c r="G18" s="62"/>
      <x:c r="H18" s="59"/>
      <x:c r="I18" s="59"/>
      <x:c r="J18" s="68"/>
      <x:c r="K18" s="47"/>
      <x:c r="L18" s="47"/>
      <x:c r="M18" s="48"/>
    </x:row>
    <x:row r="19" ht="44" customHeight="1">
      <x:c r="A19" s="54"/>
      <x:c r="B19" s="55"/>
      <x:c r="C19" s="55"/>
      <x:c r="D19" s="55"/>
      <x:c r="E19" s="47"/>
      <x:c r="F19" s="59"/>
      <x:c r="G19" s="62"/>
      <x:c r="H19" s="59"/>
      <x:c r="I19" s="59"/>
      <x:c r="J19" s="68"/>
      <x:c r="K19" s="47"/>
      <x:c r="L19" s="47"/>
      <x:c r="M19" s="48"/>
    </x:row>
    <x:row r="20" ht="44" customHeight="1">
      <x:c r="A20" s="54"/>
      <x:c r="B20" s="55"/>
      <x:c r="C20" s="55"/>
      <x:c r="D20" s="55"/>
      <x:c r="E20" s="47"/>
      <x:c r="F20" s="59"/>
      <x:c r="G20" s="62"/>
      <x:c r="H20" s="59"/>
      <x:c r="I20" s="59"/>
      <x:c r="J20" s="68"/>
      <x:c r="K20" s="47"/>
      <x:c r="L20" s="47"/>
      <x:c r="M20" s="48"/>
    </x:row>
    <x:row r="21" ht="44" customHeight="1">
      <x:c r="A21" s="54"/>
      <x:c r="B21" s="55"/>
      <x:c r="C21" s="55"/>
      <x:c r="D21" s="55"/>
      <x:c r="E21" s="47"/>
      <x:c r="F21" s="59"/>
      <x:c r="G21" s="62"/>
      <x:c r="H21" s="59"/>
      <x:c r="I21" s="59"/>
      <x:c r="J21" s="68"/>
      <x:c r="K21" s="47"/>
      <x:c r="L21" s="47"/>
      <x:c r="M21" s="48"/>
    </x:row>
    <x:row r="22" ht="44" customHeight="1">
      <x:c r="A22" s="54"/>
      <x:c r="B22" s="55"/>
      <x:c r="C22" s="55"/>
      <x:c r="D22" s="55"/>
      <x:c r="E22" s="47"/>
      <x:c r="F22" s="59"/>
      <x:c r="G22" s="62"/>
      <x:c r="H22" s="59"/>
      <x:c r="I22" s="59"/>
      <x:c r="J22" s="68"/>
      <x:c r="K22" s="47"/>
      <x:c r="L22" s="47"/>
      <x:c r="M22" s="48"/>
    </x:row>
    <x:row r="23" ht="44" customHeight="1">
      <x:c r="A23" s="54"/>
      <x:c r="B23" s="55"/>
      <x:c r="C23" s="55"/>
      <x:c r="D23" s="55"/>
      <x:c r="E23" s="47"/>
      <x:c r="F23" s="59"/>
      <x:c r="G23" s="62"/>
      <x:c r="H23" s="59"/>
      <x:c r="I23" s="59"/>
      <x:c r="J23" s="68"/>
      <x:c r="K23" s="47"/>
      <x:c r="L23" s="47"/>
      <x:c r="M23" s="48"/>
    </x:row>
    <x:row r="24" ht="44" customHeight="1">
      <x:c r="A24" s="54"/>
      <x:c r="B24" s="55"/>
      <x:c r="C24" s="55"/>
      <x:c r="D24" s="55"/>
      <x:c r="E24" s="47"/>
      <x:c r="F24" s="59"/>
      <x:c r="G24" s="62"/>
      <x:c r="H24" s="59"/>
      <x:c r="I24" s="59"/>
      <x:c r="J24" s="68"/>
      <x:c r="K24" s="47"/>
      <x:c r="L24" s="47"/>
      <x:c r="M24" s="48"/>
    </x:row>
    <x:row r="25" ht="44" customHeight="1">
      <x:c r="A25" s="54"/>
      <x:c r="B25" s="55"/>
      <x:c r="C25" s="55"/>
      <x:c r="D25" s="55"/>
      <x:c r="E25" s="47"/>
      <x:c r="F25" s="59"/>
      <x:c r="G25" s="62"/>
      <x:c r="H25" s="59"/>
      <x:c r="I25" s="59"/>
      <x:c r="J25" s="68"/>
      <x:c r="K25" s="47"/>
      <x:c r="L25" s="47"/>
      <x:c r="M25" s="48"/>
    </x:row>
    <x:row r="26" ht="44" customHeight="1">
      <x:c r="A26" s="56"/>
      <x:c r="B26" s="57"/>
      <x:c r="C26" s="57"/>
      <x:c r="D26" s="57"/>
      <x:c r="E26" s="50"/>
      <x:c r="F26" s="60"/>
      <x:c r="G26" s="63"/>
      <x:c r="H26" s="60"/>
      <x:c r="I26" s="60"/>
      <x:c r="J26" s="69"/>
      <x:c r="K26" s="50"/>
      <x:c r="L26" s="50"/>
      <x:c r="M26" s="51"/>
    </x:row>
  </x:sheetData>
  <x:mergeCells>
    <x:mergeCell ref="A1:M1"/>
    <x:mergeCell ref="A2:M2"/>
  </x:mergeCells>
  <x:conditionalFormatting sqref="I8:I26">
    <x:cfRule type="containsText" dxfId="0" priority="1" operator="containsText" text="基本完成"/>
    <x:cfRule type="containsText" dxfId="1" priority="2" operator="containsText" text="进行中"/>
    <x:cfRule type="containsText" dxfId="2" priority="3" operator="containsText" text="未开始"/>
  </x:conditionalFormatting>
  <x:dataValidations count="1">
    <x:dataValidation type="list" sqref="J8:J26">
      <x:formula1>"待办,进行中,已完成,阻塞"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95" hidden="0" customWidth="1"/>
  </x:cols>
  <x:sheetData>
    <x:row r="1">
      <x:c r="A1" s="71" t="str">
        <x:v>Sprint 3 收尾口径与追溯</x:v>
      </x:c>
      <x:c r="B1" s="71"/>
      <x:c r="C1" s="71"/>
      <x:c r="D1" s="71"/>
      <x:c r="E1" s="71"/>
      <x:c r="F1" s="71"/>
    </x:row>
    <x:row r="3" ht="36" customHeight="1">
      <x:c r="A3" s="74" t="str">
        <x:v>事项</x:v>
      </x:c>
      <x:c r="B3" s="74" t="str">
        <x:v>说明</x:v>
      </x:c>
    </x:row>
    <x:row r="4" ht="36" customHeight="1">
      <x:c r="A4" s="76" t="str">
        <x:v>迁移口径</x:v>
      </x:c>
      <x:c r="B4" s="47" t="str">
        <x:v>仅迁移 Sprint 2 中未完成、进行中和基本完成的可执行任务；已完成任务保留在 Sprint 2。</x:v>
      </x:c>
    </x:row>
    <x:row r="5" ht="36" customHeight="1">
      <x:c r="A5" s="76" t="str">
        <x:v>任务数量</x:v>
      </x:c>
      <x:c r="B5" s="47" t="str">
        <x:v>19 项，合计 34 小时剩余估算。</x:v>
      </x:c>
    </x:row>
    <x:row r="6" ht="36" customHeight="1">
      <x:c r="A6" s="76" t="str">
        <x:v>产品待办</x:v>
      </x:c>
      <x:c r="B6" s="47" t="str">
        <x:v>Sprint 2 PBI 不被重复拆分计点，状态标记为“部分完成，余项转Sprint3”；Sprint 3 文件承担实际收尾排期。</x:v>
      </x:c>
    </x:row>
    <x:row r="7" ht="36" customHeight="1">
      <x:c r="A7" s="76" t="str">
        <x:v>验收口径</x:v>
      </x:c>
      <x:c r="B7" s="47" t="str">
        <x:v>迁入 Sprint 3 不等于重新开始。每项保留原状态，完成后须补充真实 UAT、真实外部服务或公网证据。</x:v>
      </x:c>
    </x:row>
  </x:sheetData>
  <x:mergeCells>
    <x:mergeCell ref="A1:F1"/>
  </x:mergeCells>
  <x:pageMargins left="0.7" right="0.7" top="0.75" bottom="0.75" header="0.3" footer="0.3"/>
</x:worksheet>
</file>