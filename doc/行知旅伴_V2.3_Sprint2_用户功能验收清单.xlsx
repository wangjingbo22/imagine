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57c5b7b52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体规划" sheetId="1" r:id="Rccf4c9b44a0f445e"/>
    <x:sheet xmlns:r="http://schemas.openxmlformats.org/officeDocument/2006/relationships" name="验收说明" sheetId="2" r:id="R603cdb655c7e414d"/>
    <x:sheet xmlns:r="http://schemas.openxmlformats.org/officeDocument/2006/relationships" name="用户功能验收清单" sheetId="3" r:id="Ra3fafbd7193b4d5d"/>
    <x:sheet xmlns:r="http://schemas.openxmlformats.org/officeDocument/2006/relationships" name="教师演示脚本" sheetId="4" r:id="Rc14b99716dd24d82"/>
    <x:sheet xmlns:r="http://schemas.openxmlformats.org/officeDocument/2006/relationships" name="PBI与证据追溯" sheetId="5" r:id="R4e83b63abfa8454f"/>
  </x:sheets>
  <x:definedNames>
    <x:definedName name="_xlnm.Print_Area" localSheetId="0">'整体规划'!$A$1:$H$60</x:definedName>
    <x:definedName name="_xlnm.Print_Titles" localSheetId="0">'整体规划'!$1:$4</x:definedName>
    <x:definedName name="_xlnm.Print_Area" localSheetId="1">'验收说明'!$A$1:$T$42</x:definedName>
    <x:definedName name="_xlnm.Print_Titles" localSheetId="1">'验收说明'!$1:$5</x:definedName>
    <x:definedName name="_xlnm.Print_Area" localSheetId="2">'用户功能验收清单'!$A$1:$O$54</x:definedName>
    <x:definedName name="_xlnm.Print_Titles" localSheetId="2">'用户功能验收清单'!$6:$6</x:definedName>
    <x:definedName name="_xlnm.Print_Area" localSheetId="3">'教师演示脚本'!$A$1:$I$20</x:definedName>
    <x:definedName name="_xlnm.Print_Titles" localSheetId="3">'教师演示脚本'!$5:$5</x:definedName>
    <x:definedName name="_xlnm.Print_Area" localSheetId="4">'PBI与证据追溯'!$A$1:$K$68</x:definedName>
    <x:definedName name="_xlnm.Print_Titles" localSheetId="4">'PBI与证据追溯'!$16:$16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0.0 &quot;分钟&quot;"/>
    <x:numFmt numFmtId="200" formatCode="0%"/>
  </x:numFmts>
  <x:fonts count="18">
    <x:font>
      <x:sz val="11"/>
      <x:name val="Carlito"/>
    </x:font>
    <x:font>
      <x:b/>
      <x:sz val="18"/>
      <x:color rgb="FFFFFFFF"/>
      <x:name val="Microsoft YaHei"/>
    </x:font>
    <x:font>
      <x:sz val="10"/>
      <x:color rgb="FF5F6B7A"/>
      <x:name val="Microsoft YaHei"/>
    </x:font>
    <x:font>
      <x:b/>
      <x:sz val="10"/>
      <x:color rgb="FF1F4E78"/>
      <x:name val="Microsoft YaHei"/>
    </x:font>
    <x:font>
      <x:b/>
      <x:sz val="10"/>
      <x:color rgb="FF1D1D1F"/>
      <x:name val="Microsoft YaHei"/>
    </x:font>
    <x:font>
      <x:b/>
      <x:sz val="13"/>
      <x:color rgb="FF1F4E78"/>
      <x:name val="Microsoft YaHei"/>
    </x:font>
    <x:font>
      <x:b/>
      <x:sz val="11"/>
      <x:color rgb="FF1D1D1F"/>
      <x:name val="Microsoft YaHei"/>
    </x:font>
    <x:font>
      <x:sz val="10"/>
      <x:color rgb="FF1D1D1F"/>
      <x:name val="Microsoft YaHei"/>
    </x:font>
    <x:font>
      <x:b/>
      <x:sz val="12"/>
      <x:color rgb="FFFFFFFF"/>
      <x:name val="Microsoft YaHei"/>
    </x:font>
    <x:font>
      <x:sz val="9"/>
      <x:color rgb="FF1D1D1F"/>
      <x:name val="Microsoft YaHei"/>
    </x:font>
    <x:font>
      <x:sz val="10"/>
      <x:color rgb="FF1F4E78"/>
      <x:name val="Microsoft YaHei"/>
    </x:font>
    <x:font>
      <x:b/>
      <x:sz val="11"/>
      <x:color rgb="FFFFFFFF"/>
      <x:name val="Microsoft YaHei"/>
    </x:font>
    <x:font>
      <x:b/>
      <x:sz val="22"/>
      <x:color rgb="FF1F4E78"/>
      <x:name val="Microsoft YaHei"/>
    </x:font>
    <x:font>
      <x:b/>
      <x:sz val="10"/>
      <x:color rgb="FF8A5A00"/>
      <x:name val="Microsoft YaHei"/>
    </x:font>
    <x:font>
      <x:b/>
      <x:sz val="10"/>
      <x:color rgb="FFB42318"/>
      <x:name val="Microsoft YaHei"/>
    </x:font>
    <x:font>
      <x:b/>
      <x:sz val="11"/>
      <x:color rgb="FF1F4E78"/>
      <x:name val="Microsoft YaHei"/>
    </x:font>
    <x:font>
      <x:b/>
      <x:sz val="12"/>
      <x:color rgb="FF1F4E78"/>
      <x:name val="Microsoft YaHei"/>
    </x:font>
    <x:font>
      <x:b/>
      <x:sz val="9"/>
      <x:color rgb="FF1D1D1F"/>
      <x:name val="Microsoft YaHei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4FA"/>
      </x:patternFill>
    </x:fill>
    <x:fill>
      <x:patternFill patternType="solid">
        <x:fgColor rgb="FFD9F7F7"/>
      </x:patternFill>
    </x:fill>
    <x:fill>
      <x:patternFill patternType="solid">
        <x:fgColor rgb="FFFFFFFF"/>
      </x:patternFill>
    </x:fill>
    <x:fill>
      <x:patternFill patternType="solid">
        <x:fgColor rgb="FFFF9900"/>
      </x:patternFill>
    </x:fill>
    <x:fill>
      <x:patternFill patternType="solid">
        <x:fgColor rgb="FFFFCC00"/>
      </x:patternFill>
    </x:fill>
    <x:fill>
      <x:patternFill patternType="solid">
        <x:fgColor rgb="FFDCE6F1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  <x:fill>
      <x:patternFill patternType="solid">
        <x:fgColor rgb="FFF5F5F7"/>
      </x:patternFill>
    </x:fill>
    <x:fill>
      <x:patternFill patternType="solid">
        <x:fgColor rgb="FFFF9900"/>
      </x:patternFill>
    </x:fill>
    <x:fill>
      <x:patternFill patternType="solid">
        <x:fgColor rgb="FFFCE8E6"/>
      </x:patternFill>
    </x:fill>
    <x:fill>
      <x:patternFill patternType="solid">
        <x:fgColor rgb="FFFFCC00"/>
      </x:patternFill>
    </x:fill>
    <x:fill>
      <x:patternFill patternType="solid">
        <x:fgColor rgb="FFFFF4CC"/>
      </x:patternFill>
    </x:fill>
  </x:fills>
  <x:borders count="45">
    <x:border/>
    <x:border>
      <x:left style="thin">
        <x:color rgb="FFAAB4C0"/>
      </x:left>
      <x:top style="thin">
        <x:color rgb="FFAAB4C0"/>
      </x:top>
      <x:bottom style="thin">
        <x:color rgb="FFAAB4C0"/>
      </x:bottom>
    </x:border>
    <x:border>
      <x:top style="thin">
        <x:color rgb="FFAAB4C0"/>
      </x:top>
      <x:bottom style="thin">
        <x:color rgb="FFAAB4C0"/>
      </x:bottom>
    </x:border>
    <x:border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left style="thin">
        <x:color rgb="FFAAB4C0"/>
      </x:left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left style="thin">
        <x:color rgb="FFE5E5EA"/>
      </x:left>
      <x:right style="thin">
        <x:color rgb="FFE5E5EA"/>
      </x:right>
      <x:top style="thin">
        <x:color rgb="FFE5E5EA"/>
      </x:top>
      <x:bottom style="thin">
        <x:color rgb="FFE5E5EA"/>
      </x:bottom>
    </x:border>
    <x:border>
      <x:left style="medium">
        <x:color rgb="FF1F4E78"/>
      </x:left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left style="medium">
        <x:color rgb="FFFF9900"/>
      </x:left>
      <x:top style="medium">
        <x:color rgb="FFFF9900"/>
      </x:top>
    </x:border>
    <x:border>
      <x:top style="medium">
        <x:color rgb="FFFF9900"/>
      </x:top>
    </x:border>
    <x:border>
      <x:right style="medium">
        <x:color rgb="FFFF9900"/>
      </x:right>
      <x:top style="medium">
        <x:color rgb="FFFF9900"/>
      </x:top>
    </x:border>
    <x:border>
      <x:left style="medium">
        <x:color rgb="FFFF9900"/>
      </x:left>
      <x:bottom style="medium">
        <x:color rgb="FFFF9900"/>
      </x:bottom>
    </x:border>
    <x:border>
      <x:bottom style="medium">
        <x:color rgb="FFFF9900"/>
      </x:bottom>
    </x:border>
    <x:border>
      <x:right style="medium">
        <x:color rgb="FFFF9900"/>
      </x:right>
      <x:bottom style="medium">
        <x:color rgb="FFFF9900"/>
      </x:bottom>
    </x:border>
    <x:border>
      <x:left style="medium">
        <x:color rgb="FFB42318"/>
      </x:left>
      <x:top style="medium">
        <x:color rgb="FFB42318"/>
      </x:top>
    </x:border>
    <x:border>
      <x:top style="medium">
        <x:color rgb="FFB42318"/>
      </x:top>
    </x:border>
    <x:border>
      <x:right style="medium">
        <x:color rgb="FFB42318"/>
      </x:right>
      <x:top style="medium">
        <x:color rgb="FFB42318"/>
      </x:top>
    </x:border>
    <x:border>
      <x:left style="medium">
        <x:color rgb="FFB42318"/>
      </x:left>
    </x:border>
    <x:border>
      <x:right style="medium">
        <x:color rgb="FFB42318"/>
      </x:right>
    </x:border>
    <x:border>
      <x:left style="medium">
        <x:color rgb="FFB42318"/>
      </x:left>
      <x:bottom style="medium">
        <x:color rgb="FFB42318"/>
      </x:bottom>
    </x:border>
    <x:border>
      <x:bottom style="medium">
        <x:color rgb="FFB42318"/>
      </x:bottom>
    </x:border>
    <x:border>
      <x:right style="medium">
        <x:color rgb="FFB42318"/>
      </x:right>
      <x:bottom style="medium">
        <x:color rgb="FFB42318"/>
      </x:bottom>
    </x:border>
    <x:border>
      <x:left style="thin">
        <x:color rgb="FFFF9900"/>
      </x:left>
      <x:top style="thin">
        <x:color rgb="FFFF9900"/>
      </x:top>
      <x:bottom style="thin">
        <x:color rgb="FFFF9900"/>
      </x:bottom>
    </x:border>
    <x:border>
      <x:top style="thin">
        <x:color rgb="FFFF9900"/>
      </x:top>
      <x:bottom style="thin">
        <x:color rgb="FFFF9900"/>
      </x:bottom>
    </x:border>
    <x:border>
      <x:right style="thin">
        <x:color rgb="FFFF9900"/>
      </x:right>
      <x:top style="thin">
        <x:color rgb="FFFF9900"/>
      </x:top>
      <x:bottom style="thin">
        <x:color rgb="FFFF9900"/>
      </x:bottom>
    </x:border>
    <x:border>
      <x:left style="thin">
        <x:color rgb="FFFF9900"/>
      </x:left>
      <x:right style="thin">
        <x:color rgb="FFFF9900"/>
      </x:right>
      <x:top style="thin">
        <x:color rgb="FFFF9900"/>
      </x:top>
      <x:bottom style="thin">
        <x:color rgb="FFFF9900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medium">
        <x:color rgb="FFFF9900"/>
      </x:left>
    </x:border>
    <x:border>
      <x:right style="medium">
        <x:color rgb="FFFF9900"/>
      </x:right>
    </x:border>
    <x:border>
      <x:top style="thin">
        <x:color rgb="FFAAB4C0"/>
      </x:top>
    </x:border>
    <x:border>
      <x:right style="thin">
        <x:color rgb="FFAAB4C0"/>
      </x:right>
      <x:top style="thin">
        <x:color rgb="FFAAB4C0"/>
      </x:top>
    </x:border>
    <x:border>
      <x:top style="thin">
        <x:color rgb="FFE5E5EA"/>
      </x:top>
    </x:border>
    <x:border>
      <x:right style="thin">
        <x:color rgb="FFE5E5EA"/>
      </x:right>
      <x:top style="thin">
        <x:color rgb="FFE5E5EA"/>
      </x:top>
    </x:border>
    <x:border>
      <x:top style="thin">
        <x:color rgb="FFE5E5EA"/>
      </x:top>
      <x:bottom style="thin">
        <x:color rgb="FFE5E5EA"/>
      </x:bottom>
    </x:border>
    <x:border>
      <x:right style="thin">
        <x:color rgb="FFE5E5EA"/>
      </x:right>
      <x:top style="thin">
        <x:color rgb="FFE5E5EA"/>
      </x:top>
      <x:bottom style="thin">
        <x:color rgb="FFE5E5EA"/>
      </x:bottom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FF9900"/>
      </x:left>
      <x:right style="medium">
        <x:color rgb="FFFF9900"/>
      </x:right>
      <x:top style="medium">
        <x:color rgb="FFFF9900"/>
      </x:top>
      <x:bottom style="medium">
        <x:color rgb="FFFF9900"/>
      </x:bottom>
    </x:border>
    <x:border>
      <x:left style="medium">
        <x:color rgb="FFB42318"/>
      </x:left>
      <x:right style="medium">
        <x:color rgb="FFB42318"/>
      </x:right>
      <x:top style="medium">
        <x:color rgb="FFB42318"/>
      </x:top>
      <x:bottom style="medium">
        <x:color rgb="FFB42318"/>
      </x:bottom>
    </x:border>
    <x:border>
      <x:top style="thin">
        <x:color rgb="FFFF9900"/>
      </x:top>
    </x:border>
    <x:border>
      <x:right style="thin">
        <x:color rgb="FFFF9900"/>
      </x:right>
      <x:top style="thin">
        <x:color rgb="FFFF9900"/>
      </x:top>
    </x:border>
  </x:borders>
  <x:cellStyleXfs count="1">
    <x:xf numFmtId="0" fontId="0" fillId="0" borderId="0"/>
  </x:cellStyleXfs>
  <x:cellXfs count="343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3" borderId="0" xfId="0"/>
    <x:xf numFmtId="0" fontId="2" fillId="3" borderId="0" xfId="0"/>
    <x:xf numFmtId="0" fontId="2" fillId="3" borderId="1" xfId="0"/>
    <x:xf numFmtId="0" fontId="2" fillId="3" borderId="2" xfId="0"/>
    <x:xf numFmtId="0" fontId="2" fillId="3" borderId="3" xfId="0"/>
    <x:xf numFmtId="0" fontId="2" fillId="3" borderId="1" xfId="0" applyAlignment="1">
      <x:alignment wrapText="1"/>
    </x:xf>
    <x:xf numFmtId="0" fontId="2" fillId="3" borderId="2" xfId="0" applyAlignment="1">
      <x:alignment wrapText="1"/>
    </x:xf>
    <x:xf numFmtId="0" fontId="2" fillId="3" borderId="3" xfId="0" applyAlignment="1">
      <x:alignment wrapText="1"/>
    </x:xf>
    <x:xf numFmtId="0" fontId="2" fillId="3" borderId="1" xfId="0" applyAlignment="1">
      <x:alignment vertical="center" wrapText="1"/>
    </x:xf>
    <x:xf numFmtId="0" fontId="2" fillId="3" borderId="2" xfId="0" applyAlignment="1">
      <x:alignment vertical="center" wrapText="1"/>
    </x:xf>
    <x:xf numFmtId="0" fontId="2" fillId="3" borderId="3" xfId="0" applyAlignment="1">
      <x:alignment vertical="center" wrapText="1"/>
    </x:xf>
    <x:xf numFmtId="0" fontId="0" fillId="4" borderId="0" xfId="0"/>
    <x:xf numFmtId="0" fontId="3" fillId="4" borderId="0" xfId="0"/>
    <x:xf numFmtId="0" fontId="3" fillId="4" borderId="4" xfId="0"/>
    <x:xf numFmtId="0" fontId="3" fillId="4" borderId="4" xfId="0" applyAlignment="1">
      <x:alignment wrapText="1"/>
    </x:xf>
    <x:xf numFmtId="0" fontId="3" fillId="4" borderId="4" xfId="0" applyAlignment="1">
      <x:alignment vertical="center" wrapText="1"/>
    </x:xf>
    <x:xf numFmtId="0" fontId="4" fillId="3" borderId="0" xfId="0"/>
    <x:xf numFmtId="0" fontId="4" fillId="3" borderId="4" xfId="0"/>
    <x:xf numFmtId="0" fontId="4" fillId="3" borderId="4" xfId="0" applyAlignment="1">
      <x:alignment horizontal="center"/>
    </x:xf>
    <x:xf numFmtId="0" fontId="4" fillId="3" borderId="4" xfId="0" applyAlignment="1">
      <x:alignment horizontal="center" vertical="center"/>
    </x:xf>
    <x:xf numFmtId="0" fontId="4" fillId="5" borderId="4" xfId="0" applyAlignment="1">
      <x:alignment horizontal="center" vertical="center"/>
    </x:xf>
    <x:xf numFmtId="0" fontId="5" fillId="5" borderId="4" xfId="0" applyAlignment="1">
      <x:alignment horizontal="center" vertical="center"/>
    </x:xf>
    <x:xf numFmtId="1" fontId="5" fillId="5" borderId="4" xfId="0" applyAlignment="1">
      <x:alignment horizontal="center" vertical="center"/>
    </x:xf>
    <x:xf numFmtId="0" fontId="0" fillId="6" borderId="0" xfId="0"/>
    <x:xf numFmtId="0" fontId="6" fillId="6" borderId="0" xfId="0"/>
    <x:xf numFmtId="0" fontId="6" fillId="6" borderId="1" xfId="0"/>
    <x:xf numFmtId="0" fontId="6" fillId="6" borderId="2" xfId="0"/>
    <x:xf numFmtId="0" fontId="6" fillId="6" borderId="3" xfId="0"/>
    <x:xf numFmtId="0" fontId="6" fillId="6" borderId="1" xfId="0" applyAlignment="1">
      <x:alignment vertical="center"/>
    </x:xf>
    <x:xf numFmtId="0" fontId="6" fillId="6" borderId="2" xfId="0" applyAlignment="1">
      <x:alignment vertical="center"/>
    </x:xf>
    <x:xf numFmtId="0" fontId="6" fillId="6" borderId="3" xfId="0" applyAlignment="1">
      <x:alignment vertical="center"/>
    </x:xf>
    <x:xf numFmtId="0" fontId="7" fillId="0" borderId="0" xfId="0"/>
    <x:xf numFmtId="0" fontId="7" fillId="0" borderId="5" xfId="0"/>
    <x:xf numFmtId="0" fontId="7" fillId="0" borderId="5" xfId="0" applyAlignment="1">
      <x:alignment wrapText="1"/>
    </x:xf>
    <x:xf numFmtId="0" fontId="7" fillId="0" borderId="5" xfId="0" applyAlignment="1">
      <x:alignment vertical="center" wrapText="1"/>
    </x:xf>
    <x:xf numFmtId="0" fontId="7" fillId="2" borderId="5" xfId="0" applyAlignment="1">
      <x:alignment vertical="center" wrapText="1"/>
    </x:xf>
    <x:xf numFmtId="0" fontId="8" fillId="2" borderId="5" xfId="0" applyAlignment="1">
      <x:alignment vertical="center" wrapText="1"/>
    </x:xf>
    <x:xf numFmtId="0" fontId="8" fillId="2" borderId="4" xfId="0" applyAlignment="1">
      <x:alignment vertical="center" wrapText="1"/>
    </x:xf>
    <x:xf numFmtId="0" fontId="8" fillId="2" borderId="4" xfId="0" applyAlignment="1">
      <x:alignment horizontal="center" vertical="center" wrapText="1"/>
    </x:xf>
    <x:xf numFmtId="0" fontId="0" fillId="7" borderId="0" xfId="0"/>
    <x:xf numFmtId="0" fontId="4" fillId="7" borderId="0" xfId="0"/>
    <x:xf numFmtId="0" fontId="4" fillId="7" borderId="4" xfId="0"/>
    <x:xf numFmtId="0" fontId="4" fillId="7" borderId="4" xfId="0" applyAlignment="1">
      <x:alignment wrapText="1"/>
    </x:xf>
    <x:xf numFmtId="0" fontId="4" fillId="7" borderId="4" xfId="0" applyAlignment="1">
      <x:alignment horizontal="center" wrapText="1"/>
    </x:xf>
    <x:xf numFmtId="0" fontId="4" fillId="7" borderId="4" xfId="0" applyAlignment="1">
      <x:alignment horizontal="center" vertical="center" wrapText="1"/>
    </x:xf>
    <x:xf numFmtId="0" fontId="9" fillId="0" borderId="0" xfId="0"/>
    <x:xf numFmtId="0" fontId="9" fillId="0" borderId="5" xfId="0"/>
    <x:xf numFmtId="0" fontId="9" fillId="0" borderId="5" xfId="0" applyAlignment="1">
      <x:alignment wrapText="1"/>
    </x:xf>
    <x:xf numFmtId="0" fontId="9" fillId="0" borderId="5" xfId="0" applyAlignment="1">
      <x:alignment vertical="center" wrapText="1"/>
    </x:xf>
    <x:xf numFmtId="0" fontId="9" fillId="0" borderId="5" xfId="0" applyAlignment="1">
      <x:alignment horizontal="center" vertical="center" wrapText="1"/>
    </x:xf>
    <x:xf numFmtId="0" fontId="10" fillId="3" borderId="0" xfId="0"/>
    <x:xf numFmtId="0" fontId="10" fillId="3" borderId="1" xfId="0"/>
    <x:xf numFmtId="0" fontId="10" fillId="3" borderId="2" xfId="0"/>
    <x:xf numFmtId="0" fontId="10" fillId="3" borderId="3" xfId="0"/>
    <x:xf numFmtId="0" fontId="10" fillId="3" borderId="1" xfId="0" applyAlignment="1">
      <x:alignment wrapText="1"/>
    </x:xf>
    <x:xf numFmtId="0" fontId="10" fillId="3" borderId="2" xfId="0" applyAlignment="1">
      <x:alignment wrapText="1"/>
    </x:xf>
    <x:xf numFmtId="0" fontId="10" fillId="3" borderId="3" xfId="0" applyAlignment="1">
      <x:alignment wrapText="1"/>
    </x:xf>
    <x:xf numFmtId="0" fontId="10" fillId="3" borderId="1" xfId="0" applyAlignment="1">
      <x:alignment vertical="center" wrapText="1"/>
    </x:xf>
    <x:xf numFmtId="0" fontId="10" fillId="3" borderId="2" xfId="0" applyAlignment="1">
      <x:alignment vertical="center" wrapText="1"/>
    </x:xf>
    <x:xf numFmtId="0" fontId="10" fillId="3" borderId="3" xfId="0" applyAlignment="1">
      <x:alignment vertical="center" wrapText="1"/>
    </x:xf>
    <x:xf numFmtId="0" fontId="0" fillId="8" borderId="0" xfId="0"/>
    <x:xf numFmtId="0" fontId="3" fillId="8" borderId="0" xfId="0"/>
    <x:xf numFmtId="0" fontId="3" fillId="8" borderId="6" xfId="0"/>
    <x:xf numFmtId="0" fontId="3" fillId="8" borderId="6" xfId="0" applyAlignment="1">
      <x:alignment horizontal="center"/>
    </x:xf>
    <x:xf numFmtId="0" fontId="3" fillId="8" borderId="6" xfId="0" applyAlignment="1">
      <x:alignment horizontal="center" vertical="center"/>
    </x:xf>
    <x:xf numFmtId="1" fontId="7" fillId="0" borderId="5" xfId="0" applyAlignment="1">
      <x:alignment vertical="center" wrapText="1"/>
    </x:xf>
    <x:xf numFmtId="1" fontId="3" fillId="8" borderId="6" xfId="0" applyAlignment="1">
      <x:alignment horizontal="center" vertical="center"/>
    </x:xf>
    <x:xf numFmtId="1" fontId="7" fillId="0" borderId="5" xfId="0" applyAlignment="1">
      <x:alignment horizontal="center" vertical="center" wrapText="1"/>
    </x:xf>
    <x:xf numFmtId="0" fontId="11" fillId="2" borderId="5" xfId="0" applyAlignment="1">
      <x:alignment vertical="center" wrapText="1"/>
    </x:xf>
    <x:xf numFmtId="0" fontId="11" fillId="2" borderId="4" xfId="0" applyAlignment="1">
      <x:alignment vertical="center" wrapText="1"/>
    </x:xf>
    <x:xf numFmtId="0" fontId="11" fillId="2" borderId="4" xfId="0" applyAlignment="1">
      <x:alignment horizontal="center" vertical="center" wrapText="1"/>
    </x:xf>
    <x:xf numFmtId="0" fontId="3" fillId="8" borderId="4" xfId="0"/>
    <x:xf numFmtId="0" fontId="3" fillId="8" borderId="4" xfId="0" applyAlignment="1">
      <x:alignment horizontal="center"/>
    </x:xf>
    <x:xf numFmtId="0" fontId="3" fillId="8" borderId="4" xfId="0" applyAlignment="1">
      <x:alignment horizontal="center" vertical="center"/>
    </x:xf>
    <x:xf numFmtId="0" fontId="0" fillId="5" borderId="0" xfId="0"/>
    <x:xf numFmtId="0" fontId="12" fillId="5" borderId="0" xfId="0"/>
    <x:xf numFmtId="0" fontId="12" fillId="5" borderId="6" xfId="0"/>
    <x:xf numFmtId="0" fontId="12" fillId="5" borderId="6" xfId="0" applyAlignment="1">
      <x:alignment horizontal="center"/>
    </x:xf>
    <x:xf numFmtId="0" fontId="12" fillId="5" borderId="6" xfId="0" applyAlignment="1">
      <x:alignment horizontal="center" vertical="center"/>
    </x:xf>
    <x:xf numFmtId="9" fontId="12" fillId="5" borderId="6" xfId="0" applyAlignment="1">
      <x:alignment horizontal="center" vertical="center"/>
    </x:xf>
    <x:xf numFmtId="0" fontId="0" fillId="9" borderId="0" xfId="0"/>
    <x:xf numFmtId="0" fontId="13" fillId="9" borderId="0" xfId="0"/>
    <x:xf numFmtId="0" fontId="13" fillId="9" borderId="7" xfId="0"/>
    <x:xf numFmtId="0" fontId="13" fillId="9" borderId="8" xfId="0"/>
    <x:xf numFmtId="0" fontId="13" fillId="9" borderId="9" xfId="0"/>
    <x:xf numFmtId="0" fontId="13" fillId="9" borderId="10" xfId="0"/>
    <x:xf numFmtId="0" fontId="13" fillId="9" borderId="11" xfId="0"/>
    <x:xf numFmtId="0" fontId="13" fillId="9" borderId="12" xfId="0"/>
    <x:xf numFmtId="0" fontId="13" fillId="9" borderId="7" xfId="0" applyAlignment="1">
      <x:alignment wrapText="1"/>
    </x:xf>
    <x:xf numFmtId="0" fontId="13" fillId="9" borderId="8" xfId="0" applyAlignment="1">
      <x:alignment wrapText="1"/>
    </x:xf>
    <x:xf numFmtId="0" fontId="13" fillId="9" borderId="9" xfId="0" applyAlignment="1">
      <x:alignment wrapText="1"/>
    </x:xf>
    <x:xf numFmtId="0" fontId="13" fillId="9" borderId="10" xfId="0" applyAlignment="1">
      <x:alignment wrapText="1"/>
    </x:xf>
    <x:xf numFmtId="0" fontId="13" fillId="9" borderId="11" xfId="0" applyAlignment="1">
      <x:alignment wrapText="1"/>
    </x:xf>
    <x:xf numFmtId="0" fontId="13" fillId="9" borderId="12" xfId="0" applyAlignment="1">
      <x:alignment wrapText="1"/>
    </x:xf>
    <x:xf numFmtId="0" fontId="13" fillId="9" borderId="7" xfId="0" applyAlignment="1">
      <x:alignment vertical="center" wrapText="1"/>
    </x:xf>
    <x:xf numFmtId="0" fontId="13" fillId="9" borderId="8" xfId="0" applyAlignment="1">
      <x:alignment vertical="center" wrapText="1"/>
    </x:xf>
    <x:xf numFmtId="0" fontId="13" fillId="9" borderId="9" xfId="0" applyAlignment="1">
      <x:alignment vertical="center" wrapText="1"/>
    </x:xf>
    <x:xf numFmtId="0" fontId="13" fillId="9" borderId="10" xfId="0" applyAlignment="1">
      <x:alignment vertical="center" wrapText="1"/>
    </x:xf>
    <x:xf numFmtId="0" fontId="13" fillId="9" borderId="11" xfId="0" applyAlignment="1">
      <x:alignment vertical="center" wrapText="1"/>
    </x:xf>
    <x:xf numFmtId="0" fontId="13" fillId="9" borderId="12" xfId="0" applyAlignment="1">
      <x:alignment vertical="center" wrapText="1"/>
    </x:xf>
    <x:xf numFmtId="0" fontId="7" fillId="4" borderId="5" xfId="0" applyAlignment="1">
      <x:alignment vertical="center" wrapText="1"/>
    </x:xf>
    <x:xf numFmtId="0" fontId="3" fillId="4" borderId="5" xfId="0" applyAlignment="1">
      <x:alignment vertical="center" wrapText="1"/>
    </x:xf>
    <x:xf numFmtId="0" fontId="7" fillId="0" borderId="5" xfId="0" applyAlignment="1">
      <x:alignment horizontal="center" vertical="center" wrapText="1"/>
    </x:xf>
    <x:xf numFmtId="0" fontId="9" fillId="3" borderId="5" xfId="0" applyAlignment="1">
      <x:alignment vertical="center" wrapText="1"/>
    </x:xf>
    <x:xf numFmtId="0" fontId="3" fillId="3" borderId="5" xfId="0" applyAlignment="1">
      <x:alignment vertical="center" wrapText="1"/>
    </x:xf>
    <x:xf numFmtId="0" fontId="3" fillId="3" borderId="4" xfId="0" applyAlignment="1">
      <x:alignment vertical="center" wrapText="1"/>
    </x:xf>
    <x:xf numFmtId="0" fontId="4" fillId="6" borderId="0" xfId="0"/>
    <x:xf numFmtId="0" fontId="4" fillId="6" borderId="4" xfId="0"/>
    <x:xf numFmtId="0" fontId="4" fillId="6" borderId="4" xfId="0" applyAlignment="1">
      <x:alignment wrapText="1"/>
    </x:xf>
    <x:xf numFmtId="0" fontId="4" fillId="6" borderId="4" xfId="0" applyAlignment="1">
      <x:alignment horizontal="center" wrapText="1"/>
    </x:xf>
    <x:xf numFmtId="0" fontId="4" fillId="6" borderId="4" xfId="0" applyAlignment="1">
      <x:alignment horizontal="center" vertical="center" wrapText="1"/>
    </x:xf>
    <x:xf numFmtId="0" fontId="0" fillId="10" borderId="0" xfId="0"/>
    <x:xf numFmtId="0" fontId="14" fillId="10" borderId="0" xfId="0"/>
    <x:xf numFmtId="0" fontId="14" fillId="10" borderId="13" xfId="0"/>
    <x:xf numFmtId="0" fontId="14" fillId="10" borderId="14" xfId="0"/>
    <x:xf numFmtId="0" fontId="14" fillId="10" borderId="15" xfId="0"/>
    <x:xf numFmtId="0" fontId="14" fillId="10" borderId="16" xfId="0"/>
    <x:xf numFmtId="0" fontId="14" fillId="10" borderId="17" xfId="0"/>
    <x:xf numFmtId="0" fontId="14" fillId="10" borderId="18" xfId="0"/>
    <x:xf numFmtId="0" fontId="14" fillId="10" borderId="19" xfId="0"/>
    <x:xf numFmtId="0" fontId="14" fillId="10" borderId="20" xfId="0"/>
    <x:xf numFmtId="0" fontId="14" fillId="10" borderId="13" xfId="0" applyAlignment="1">
      <x:alignment wrapText="1"/>
    </x:xf>
    <x:xf numFmtId="0" fontId="14" fillId="10" borderId="14" xfId="0" applyAlignment="1">
      <x:alignment wrapText="1"/>
    </x:xf>
    <x:xf numFmtId="0" fontId="14" fillId="10" borderId="15" xfId="0" applyAlignment="1">
      <x:alignment wrapText="1"/>
    </x:xf>
    <x:xf numFmtId="0" fontId="14" fillId="10" borderId="16" xfId="0" applyAlignment="1">
      <x:alignment wrapText="1"/>
    </x:xf>
    <x:xf numFmtId="0" fontId="14" fillId="10" borderId="0" xfId="0" applyAlignment="1">
      <x:alignment wrapText="1"/>
    </x:xf>
    <x:xf numFmtId="0" fontId="14" fillId="10" borderId="17" xfId="0" applyAlignment="1">
      <x:alignment wrapText="1"/>
    </x:xf>
    <x:xf numFmtId="0" fontId="14" fillId="10" borderId="18" xfId="0" applyAlignment="1">
      <x:alignment wrapText="1"/>
    </x:xf>
    <x:xf numFmtId="0" fontId="14" fillId="10" borderId="19" xfId="0" applyAlignment="1">
      <x:alignment wrapText="1"/>
    </x:xf>
    <x:xf numFmtId="0" fontId="14" fillId="10" borderId="20" xfId="0" applyAlignment="1">
      <x:alignment wrapText="1"/>
    </x:xf>
    <x:xf numFmtId="0" fontId="14" fillId="10" borderId="13" xfId="0" applyAlignment="1">
      <x:alignment vertical="center" wrapText="1"/>
    </x:xf>
    <x:xf numFmtId="0" fontId="14" fillId="10" borderId="14" xfId="0" applyAlignment="1">
      <x:alignment vertical="center" wrapText="1"/>
    </x:xf>
    <x:xf numFmtId="0" fontId="14" fillId="10" borderId="15" xfId="0" applyAlignment="1">
      <x:alignment vertical="center" wrapText="1"/>
    </x:xf>
    <x:xf numFmtId="0" fontId="14" fillId="10" borderId="16" xfId="0" applyAlignment="1">
      <x:alignment vertical="center" wrapText="1"/>
    </x:xf>
    <x:xf numFmtId="0" fontId="14" fillId="10" borderId="0" xfId="0" applyAlignment="1">
      <x:alignment vertical="center" wrapText="1"/>
    </x:xf>
    <x:xf numFmtId="0" fontId="14" fillId="10" borderId="17" xfId="0" applyAlignment="1">
      <x:alignment vertical="center" wrapText="1"/>
    </x:xf>
    <x:xf numFmtId="0" fontId="14" fillId="10" borderId="18" xfId="0" applyAlignment="1">
      <x:alignment vertical="center" wrapText="1"/>
    </x:xf>
    <x:xf numFmtId="0" fontId="14" fillId="10" borderId="19" xfId="0" applyAlignment="1">
      <x:alignment vertical="center" wrapText="1"/>
    </x:xf>
    <x:xf numFmtId="0" fontId="14" fillId="10" borderId="20" xfId="0" applyAlignment="1">
      <x:alignment vertical="center" wrapText="1"/>
    </x:xf>
    <x:xf numFmtId="0" fontId="3" fillId="3" borderId="0" xfId="0"/>
    <x:xf numFmtId="0" fontId="3" fillId="3" borderId="4" xfId="0"/>
    <x:xf numFmtId="0" fontId="3" fillId="3" borderId="4" xfId="0" applyAlignment="1">
      <x:alignment horizontal="center"/>
    </x:xf>
    <x:xf numFmtId="0" fontId="3" fillId="3" borderId="4" xfId="0" applyAlignment="1">
      <x:alignment horizontal="center" vertical="center"/>
    </x:xf>
    <x:xf numFmtId="0" fontId="3" fillId="5" borderId="4" xfId="0" applyAlignment="1">
      <x:alignment horizontal="center" vertical="center"/>
    </x:xf>
    <x:xf numFmtId="9" fontId="5" fillId="5" borderId="4" xfId="0" applyAlignment="1">
      <x:alignment horizontal="center" vertical="center"/>
    </x:xf>
    <x:xf numFmtId="0" fontId="13" fillId="9" borderId="21" xfId="0"/>
    <x:xf numFmtId="0" fontId="13" fillId="9" borderId="22" xfId="0"/>
    <x:xf numFmtId="0" fontId="13" fillId="9" borderId="23" xfId="0"/>
    <x:xf numFmtId="0" fontId="13" fillId="9" borderId="21" xfId="0" applyAlignment="1">
      <x:alignment wrapText="1"/>
    </x:xf>
    <x:xf numFmtId="0" fontId="13" fillId="9" borderId="22" xfId="0" applyAlignment="1">
      <x:alignment wrapText="1"/>
    </x:xf>
    <x:xf numFmtId="0" fontId="13" fillId="9" borderId="23" xfId="0" applyAlignment="1">
      <x:alignment wrapText="1"/>
    </x:xf>
    <x:xf numFmtId="0" fontId="13" fillId="9" borderId="21" xfId="0" applyAlignment="1">
      <x:alignment vertical="center" wrapText="1"/>
    </x:xf>
    <x:xf numFmtId="0" fontId="13" fillId="9" borderId="22" xfId="0" applyAlignment="1">
      <x:alignment vertical="center" wrapText="1"/>
    </x:xf>
    <x:xf numFmtId="0" fontId="13" fillId="9" borderId="23" xfId="0" applyAlignment="1">
      <x:alignment vertical="center" wrapText="1"/>
    </x:xf>
    <x:xf numFmtId="0" fontId="0" fillId="11" borderId="0" xfId="0"/>
    <x:xf numFmtId="0" fontId="2" fillId="11" borderId="0" xfId="0"/>
    <x:xf numFmtId="0" fontId="2" fillId="11" borderId="1" xfId="0"/>
    <x:xf numFmtId="0" fontId="2" fillId="11" borderId="2" xfId="0"/>
    <x:xf numFmtId="0" fontId="2" fillId="11" borderId="3" xfId="0"/>
    <x:xf numFmtId="0" fontId="2" fillId="11" borderId="1" xfId="0" applyAlignment="1">
      <x:alignment wrapText="1"/>
    </x:xf>
    <x:xf numFmtId="0" fontId="2" fillId="11" borderId="2" xfId="0" applyAlignment="1">
      <x:alignment wrapText="1"/>
    </x:xf>
    <x:xf numFmtId="0" fontId="2" fillId="11" borderId="3" xfId="0" applyAlignment="1">
      <x:alignment wrapText="1"/>
    </x:xf>
    <x:xf numFmtId="0" fontId="2" fillId="11" borderId="1" xfId="0" applyAlignment="1">
      <x:alignment vertical="center" wrapText="1"/>
    </x:xf>
    <x:xf numFmtId="0" fontId="2" fillId="11" borderId="2" xfId="0" applyAlignment="1">
      <x:alignment vertical="center" wrapText="1"/>
    </x:xf>
    <x:xf numFmtId="0" fontId="2" fillId="11" borderId="3" xfId="0" applyAlignment="1">
      <x:alignment vertical="center" wrapText="1"/>
    </x:xf>
    <x:xf numFmtId="164" fontId="9" fillId="0" borderId="5" xfId="0" applyAlignment="1">
      <x:alignment horizontal="center" vertical="center" wrapText="1"/>
    </x:xf>
    <x:xf numFmtId="165" fontId="0" fillId="0" borderId="0" xfId="0"/>
    <x:xf numFmtId="165" fontId="0" fillId="9" borderId="0" xfId="0"/>
    <x:xf numFmtId="165" fontId="13" fillId="9" borderId="0" xfId="0"/>
    <x:xf numFmtId="0" fontId="13" fillId="9" borderId="24" xfId="0"/>
    <x:xf numFmtId="165" fontId="13" fillId="9" borderId="24" xfId="0"/>
    <x:xf numFmtId="0" fontId="13" fillId="9" borderId="24" xfId="0" applyAlignment="1">
      <x:alignment wrapText="1"/>
    </x:xf>
    <x:xf numFmtId="165" fontId="13" fillId="9" borderId="24" xfId="0" applyAlignment="1">
      <x:alignment wrapText="1"/>
    </x:xf>
    <x:xf numFmtId="0" fontId="13" fillId="9" borderId="24" xfId="0" applyAlignment="1">
      <x:alignment vertical="center" wrapText="1"/>
    </x:xf>
    <x:xf numFmtId="165" fontId="13" fillId="9" borderId="24" xfId="0" applyAlignment="1">
      <x:alignment vertical="center" wrapText="1"/>
    </x:xf>
    <x:xf numFmtId="0" fontId="15" fillId="4" borderId="0" xfId="0"/>
    <x:xf numFmtId="0" fontId="15" fillId="4" borderId="25" xfId="0"/>
    <x:xf numFmtId="0" fontId="15" fillId="4" borderId="26" xfId="0"/>
    <x:xf numFmtId="0" fontId="15" fillId="4" borderId="27" xfId="0"/>
    <x:xf numFmtId="0" fontId="15" fillId="4" borderId="28" xfId="0"/>
    <x:xf numFmtId="0" fontId="15" fillId="4" borderId="29" xfId="0"/>
    <x:xf numFmtId="0" fontId="15" fillId="4" borderId="30" xfId="0"/>
    <x:xf numFmtId="0" fontId="15" fillId="4" borderId="25" xfId="0" applyAlignment="1">
      <x:alignment wrapText="1"/>
    </x:xf>
    <x:xf numFmtId="0" fontId="15" fillId="4" borderId="26" xfId="0" applyAlignment="1">
      <x:alignment wrapText="1"/>
    </x:xf>
    <x:xf numFmtId="0" fontId="15" fillId="4" borderId="27" xfId="0" applyAlignment="1">
      <x:alignment wrapText="1"/>
    </x:xf>
    <x:xf numFmtId="0" fontId="15" fillId="4" borderId="28" xfId="0" applyAlignment="1">
      <x:alignment wrapText="1"/>
    </x:xf>
    <x:xf numFmtId="0" fontId="15" fillId="4" borderId="29" xfId="0" applyAlignment="1">
      <x:alignment wrapText="1"/>
    </x:xf>
    <x:xf numFmtId="0" fontId="15" fillId="4" borderId="30" xfId="0" applyAlignment="1">
      <x:alignment wrapText="1"/>
    </x:xf>
    <x:xf numFmtId="0" fontId="15" fillId="4" borderId="25" xfId="0" applyAlignment="1">
      <x:alignment vertical="center" wrapText="1"/>
    </x:xf>
    <x:xf numFmtId="0" fontId="15" fillId="4" borderId="26" xfId="0" applyAlignment="1">
      <x:alignment vertical="center" wrapText="1"/>
    </x:xf>
    <x:xf numFmtId="0" fontId="15" fillId="4" borderId="27" xfId="0" applyAlignment="1">
      <x:alignment vertical="center" wrapText="1"/>
    </x:xf>
    <x:xf numFmtId="0" fontId="15" fillId="4" borderId="28" xfId="0" applyAlignment="1">
      <x:alignment vertical="center" wrapText="1"/>
    </x:xf>
    <x:xf numFmtId="0" fontId="15" fillId="4" borderId="29" xfId="0" applyAlignment="1">
      <x:alignment vertical="center" wrapText="1"/>
    </x:xf>
    <x:xf numFmtId="0" fontId="15" fillId="4" borderId="30" xfId="0" applyAlignment="1">
      <x:alignment vertical="center" wrapText="1"/>
    </x:xf>
    <x:xf numFmtId="0" fontId="7" fillId="5" borderId="5" xfId="0" applyAlignment="1">
      <x:alignment vertical="center" wrapText="1"/>
    </x:xf>
    <x:xf numFmtId="0" fontId="16" fillId="5" borderId="5" xfId="0" applyAlignment="1">
      <x:alignment vertical="center" wrapText="1"/>
    </x:xf>
    <x:xf numFmtId="0" fontId="16" fillId="5" borderId="4" xfId="0" applyAlignment="1">
      <x:alignment vertical="center" wrapText="1"/>
    </x:xf>
    <x:xf numFmtId="1" fontId="16" fillId="5" borderId="4" xfId="0" applyAlignment="1">
      <x:alignment vertical="center" wrapText="1"/>
    </x:xf>
    <x:xf numFmtId="1" fontId="16" fillId="5" borderId="4" xfId="0" applyAlignment="1">
      <x:alignment horizontal="center" vertical="center" wrapText="1"/>
    </x:xf>
    <x:xf numFmtId="0" fontId="13" fillId="9" borderId="31" xfId="0"/>
    <x:xf numFmtId="0" fontId="13" fillId="9" borderId="32" xfId="0"/>
    <x:xf numFmtId="0" fontId="13" fillId="9" borderId="31" xfId="0" applyAlignment="1">
      <x:alignment wrapText="1"/>
    </x:xf>
    <x:xf numFmtId="0" fontId="13" fillId="9" borderId="0" xfId="0" applyAlignment="1">
      <x:alignment wrapText="1"/>
    </x:xf>
    <x:xf numFmtId="0" fontId="13" fillId="9" borderId="32" xfId="0" applyAlignment="1">
      <x:alignment wrapText="1"/>
    </x:xf>
    <x:xf numFmtId="0" fontId="13" fillId="9" borderId="31" xfId="0" applyAlignment="1">
      <x:alignment vertical="center" wrapText="1"/>
    </x:xf>
    <x:xf numFmtId="0" fontId="13" fillId="9" borderId="0" xfId="0" applyAlignment="1">
      <x:alignment vertical="center" wrapText="1"/>
    </x:xf>
    <x:xf numFmtId="0" fontId="13" fillId="9" borderId="32" xfId="0" applyAlignment="1">
      <x:alignment vertical="center" wrapText="1"/>
    </x:xf>
    <x:xf numFmtId="0" fontId="2" fillId="3" borderId="4" xfId="0" applyAlignment="1">
      <x:alignment vertical="center" wrapText="1"/>
    </x:xf>
    <x:xf numFmtId="0" fontId="0" fillId="0" borderId="2" xfId="0"/>
    <x:xf numFmtId="0" fontId="0" fillId="0" borderId="3" xfId="0"/>
    <x:xf numFmtId="1" fontId="5" fillId="5" borderId="4" xfId="0" applyAlignment="1">
      <x:alignment horizontal="center" vertical="center"/>
    </x:xf>
    <x:xf numFmtId="0" fontId="6" fillId="6" borderId="4" xfId="0" applyAlignment="1">
      <x:alignment vertical="center"/>
    </x:xf>
    <x:xf numFmtId="0" fontId="0" fillId="0" borderId="37" xfId="0"/>
    <x:xf numFmtId="0" fontId="0" fillId="0" borderId="38" xfId="0"/>
    <x:xf numFmtId="0" fontId="10" fillId="3" borderId="4" xfId="0" applyAlignment="1">
      <x:alignment vertical="center" wrapText="1"/>
    </x:xf>
    <x:xf numFmtId="1" fontId="7" fillId="0" borderId="5" xfId="0" applyAlignment="1">
      <x:alignment horizontal="center" vertical="center" wrapText="1"/>
    </x:xf>
    <x:xf numFmtId="1" fontId="3" fillId="8" borderId="6" xfId="0" applyAlignment="1">
      <x:alignment horizontal="center" vertical="center"/>
    </x:xf>
    <x:xf numFmtId="0" fontId="0" fillId="0" borderId="27" xfId="0"/>
    <x:xf numFmtId="9" fontId="12" fillId="5" borderId="6" xfId="0" applyAlignment="1">
      <x:alignment horizontal="center" vertical="center"/>
    </x:xf>
    <x:xf numFmtId="0" fontId="0" fillId="0" borderId="28" xfId="0"/>
    <x:xf numFmtId="0" fontId="0" fillId="0" borderId="30" xfId="0"/>
    <x:xf numFmtId="0" fontId="13" fillId="9" borderId="41" xfId="0" applyAlignment="1">
      <x:alignment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12" xfId="0"/>
    <x:xf numFmtId="0" fontId="14" fillId="10" borderId="42" xfId="0" applyAlignment="1">
      <x:alignment vertical="center" wrapText="1"/>
    </x:xf>
    <x:xf numFmtId="0" fontId="0" fillId="0" borderId="14" xfId="0"/>
    <x:xf numFmtId="0" fontId="0" fillId="0" borderId="15" xfId="0"/>
    <x:xf numFmtId="0" fontId="0" fillId="0" borderId="16" xfId="0"/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9" fontId="5" fillId="5" borderId="4" xfId="0" applyAlignment="1">
      <x:alignment horizontal="center" vertical="center"/>
    </x:xf>
    <x:xf numFmtId="0" fontId="0" fillId="0" borderId="22" xfId="0"/>
    <x:xf numFmtId="0" fontId="0" fillId="0" borderId="23" xfId="0"/>
    <x:xf numFmtId="0" fontId="2" fillId="11" borderId="4" xfId="0" applyAlignment="1">
      <x:alignment vertical="center" wrapText="1"/>
    </x:xf>
    <x:xf numFmtId="164" fontId="9" fillId="0" borderId="5" xfId="0" applyAlignment="1">
      <x:alignment horizontal="center" vertical="center" wrapText="1"/>
    </x:xf>
    <x:xf numFmtId="165" fontId="13" fillId="9" borderId="24" xfId="0" applyAlignment="1">
      <x:alignment vertical="center" wrapText="1"/>
    </x:xf>
    <x:xf numFmtId="0" fontId="15" fillId="4" borderId="6" xfId="0" applyAlignment="1">
      <x:alignment vertical="center" wrapText="1"/>
    </x:xf>
    <x:xf numFmtId="0" fontId="0" fillId="0" borderId="26" xfId="0"/>
    <x:xf numFmtId="0" fontId="0" fillId="0" borderId="29" xfId="0"/>
    <x:xf numFmtId="1" fontId="16" fillId="5" borderId="4" xfId="0" applyAlignment="1">
      <x:alignment horizontal="center" vertical="center" wrapText="1"/>
    </x:xf>
    <x:xf numFmtId="0" fontId="0" fillId="0" borderId="31" xfId="0"/>
    <x:xf numFmtId="0" fontId="0" fillId="0" borderId="32" xfId="0"/>
    <x:xf numFmtId="0" fontId="4" fillId="12" borderId="4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14" fillId="13" borderId="42" xfId="0" applyNumberFormat="1" applyFont="1" applyFill="1" applyBorder="1" applyAlignment="1">
      <x:alignment vertical="center" wrapText="1"/>
    </x:xf>
    <x:xf numFmtId="0" fontId="0" fillId="13" borderId="14" xfId="0" applyNumberFormat="1" applyFont="1" applyFill="1" applyBorder="1"/>
    <x:xf numFmtId="0" fontId="0" fillId="13" borderId="15" xfId="0" applyNumberFormat="1" applyFont="1" applyFill="1" applyBorder="1"/>
    <x:xf numFmtId="0" fontId="0" fillId="13" borderId="16" xfId="0" applyNumberFormat="1" applyFont="1" applyFill="1" applyBorder="1"/>
    <x:xf numFmtId="0" fontId="0" fillId="13" borderId="0" xfId="0" applyNumberFormat="1" applyFont="1" applyFill="1" applyBorder="1"/>
    <x:xf numFmtId="0" fontId="0" fillId="13" borderId="17" xfId="0" applyNumberFormat="1" applyFont="1" applyFill="1" applyBorder="1"/>
    <x:xf numFmtId="0" fontId="0" fillId="13" borderId="18" xfId="0" applyNumberFormat="1" applyFont="1" applyFill="1" applyBorder="1"/>
    <x:xf numFmtId="0" fontId="0" fillId="13" borderId="19" xfId="0" applyNumberFormat="1" applyFont="1" applyFill="1" applyBorder="1"/>
    <x:xf numFmtId="0" fontId="0" fillId="13" borderId="20" xfId="0" applyNumberFormat="1" applyFont="1" applyFill="1" applyBorder="1"/>
    <x:xf numFmtId="0" fontId="14" fillId="13" borderId="14" xfId="0" applyNumberFormat="1" applyFont="1" applyFill="1" applyBorder="1"/>
    <x:xf numFmtId="0" fontId="14" fillId="13" borderId="15" xfId="0" applyNumberFormat="1" applyFont="1" applyFill="1" applyBorder="1"/>
    <x:xf numFmtId="0" fontId="14" fillId="13" borderId="16" xfId="0" applyNumberFormat="1" applyFont="1" applyFill="1" applyBorder="1"/>
    <x:xf numFmtId="0" fontId="14" fillId="13" borderId="0" xfId="0" applyNumberFormat="1" applyFont="1" applyFill="1" applyBorder="1"/>
    <x:xf numFmtId="0" fontId="14" fillId="13" borderId="17" xfId="0" applyNumberFormat="1" applyFont="1" applyFill="1" applyBorder="1"/>
    <x:xf numFmtId="0" fontId="14" fillId="13" borderId="18" xfId="0" applyNumberFormat="1" applyFont="1" applyFill="1" applyBorder="1"/>
    <x:xf numFmtId="0" fontId="14" fillId="13" borderId="19" xfId="0" applyNumberFormat="1" applyFont="1" applyFill="1" applyBorder="1"/>
    <x:xf numFmtId="0" fontId="14" fillId="13" borderId="20" xfId="0" applyNumberFormat="1" applyFont="1" applyFill="1" applyBorder="1"/>
    <x:xf numFmtId="0" fontId="14" fillId="13" xfId="0" applyNumberFormat="1" applyFont="1" applyFill="1" applyBorder="0"/>
    <x:xf numFmtId="0" fontId="14" fillId="13" borderId="14" xfId="0" applyNumberFormat="1" applyFont="1" applyFill="1" applyBorder="1" applyAlignment="1">
      <x:alignment wrapText="1"/>
    </x:xf>
    <x:xf numFmtId="0" fontId="14" fillId="13" borderId="15" xfId="0" applyNumberFormat="1" applyFont="1" applyFill="1" applyBorder="1" applyAlignment="1">
      <x:alignment wrapText="1"/>
    </x:xf>
    <x:xf numFmtId="0" fontId="14" fillId="13" borderId="16" xfId="0" applyNumberFormat="1" applyFont="1" applyFill="1" applyBorder="1" applyAlignment="1">
      <x:alignment wrapText="1"/>
    </x:xf>
    <x:xf numFmtId="0" fontId="14" fillId="13" xfId="0" applyNumberFormat="1" applyFont="1" applyFill="1" applyBorder="0" applyAlignment="1">
      <x:alignment wrapText="1"/>
    </x:xf>
    <x:xf numFmtId="0" fontId="14" fillId="13" borderId="17" xfId="0" applyNumberFormat="1" applyFont="1" applyFill="1" applyBorder="1" applyAlignment="1">
      <x:alignment wrapText="1"/>
    </x:xf>
    <x:xf numFmtId="0" fontId="14" fillId="13" borderId="18" xfId="0" applyNumberFormat="1" applyFont="1" applyFill="1" applyBorder="1" applyAlignment="1">
      <x:alignment wrapText="1"/>
    </x:xf>
    <x:xf numFmtId="0" fontId="14" fillId="13" borderId="19" xfId="0" applyNumberFormat="1" applyFont="1" applyFill="1" applyBorder="1" applyAlignment="1">
      <x:alignment wrapText="1"/>
    </x:xf>
    <x:xf numFmtId="0" fontId="14" fillId="13" borderId="20" xfId="0" applyNumberFormat="1" applyFont="1" applyFill="1" applyBorder="1" applyAlignment="1">
      <x:alignment wrapText="1"/>
    </x:xf>
    <x:xf numFmtId="0" fontId="14" fillId="13" borderId="14" xfId="0" applyNumberFormat="1" applyFont="1" applyFill="1" applyBorder="1" applyAlignment="1">
      <x:alignment vertical="center" wrapText="1"/>
    </x:xf>
    <x:xf numFmtId="0" fontId="14" fillId="13" borderId="15" xfId="0" applyNumberFormat="1" applyFont="1" applyFill="1" applyBorder="1" applyAlignment="1">
      <x:alignment vertical="center" wrapText="1"/>
    </x:xf>
    <x:xf numFmtId="0" fontId="14" fillId="13" borderId="16" xfId="0" applyNumberFormat="1" applyFont="1" applyFill="1" applyBorder="1" applyAlignment="1">
      <x:alignment vertical="center" wrapText="1"/>
    </x:xf>
    <x:xf numFmtId="0" fontId="14" fillId="13" xfId="0" applyNumberFormat="1" applyFont="1" applyFill="1" applyBorder="0" applyAlignment="1">
      <x:alignment vertical="center" wrapText="1"/>
    </x:xf>
    <x:xf numFmtId="0" fontId="14" fillId="13" borderId="17" xfId="0" applyNumberFormat="1" applyFont="1" applyFill="1" applyBorder="1" applyAlignment="1">
      <x:alignment vertical="center" wrapText="1"/>
    </x:xf>
    <x:xf numFmtId="0" fontId="14" fillId="13" borderId="18" xfId="0" applyNumberFormat="1" applyFont="1" applyFill="1" applyBorder="1" applyAlignment="1">
      <x:alignment vertical="center" wrapText="1"/>
    </x:xf>
    <x:xf numFmtId="0" fontId="14" fillId="13" borderId="19" xfId="0" applyNumberFormat="1" applyFont="1" applyFill="1" applyBorder="1" applyAlignment="1">
      <x:alignment vertical="center" wrapText="1"/>
    </x:xf>
    <x:xf numFmtId="0" fontId="14" fillId="13" borderId="20" xfId="0" applyNumberFormat="1" applyFont="1" applyFill="1" applyBorder="1" applyAlignment="1">
      <x:alignment vertical="center" wrapText="1"/>
    </x:xf>
    <x:xf numFmtId="200" fontId="5" fillId="5" borderId="4" xfId="0" applyNumberFormat="1" applyFont="1" applyFill="1" applyBorder="1" applyAlignment="1">
      <x:alignment horizontal="center" vertical="center"/>
    </x:xf>
    <x:xf numFmtId="0" fontId="9" fillId="0" borderId="5" xfId="0" applyNumberFormat="1" applyFont="1" applyFill="1" applyBorder="1" applyAlignment="1">
      <x:alignment horizontal="center"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164" fontId="9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5" xfId="0" applyNumberFormat="1" applyFont="1" applyFill="1" applyBorder="1"/>
    <x:xf numFmtId="0" fontId="9" fillId="0" borderId="5" xfId="0" applyNumberFormat="1" applyFont="1" applyFill="1" applyBorder="1" applyAlignment="1">
      <x:alignment wrapText="1"/>
    </x:xf>
    <x:xf numFmtId="165" fontId="13" fillId="9" borderId="2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1" fontId="7" fillId="0" borderId="5" xfId="0" applyNumberFormat="1" applyFont="1" applyFill="1" applyBorder="1" applyAlignment="1">
      <x:alignment horizontal="center" vertical="center" wrapText="1"/>
    </x:xf>
    <x:xf numFmtId="0" fontId="4" fillId="14" borderId="4" xfId="0" applyNumberFormat="1" applyFont="1" applyFill="1" applyBorder="1" applyAlignment="1">
      <x:alignment horizontal="center" vertical="center" wrapText="1"/>
    </x:xf>
    <x:xf numFmtId="1" fontId="4" fillId="5" borderId="4" xfId="0" applyNumberFormat="1" applyFont="1" applyFill="1" applyBorder="1" applyAlignment="1">
      <x:alignment horizontal="center" vertical="center" wrapText="1"/>
    </x:xf>
    <x:xf numFmtId="1" fontId="4" fillId="5" borderId="5" xfId="0" applyNumberFormat="1" applyFont="1" applyFill="1" applyBorder="1" applyAlignment="1">
      <x:alignment horizontal="center" vertical="center" wrapText="1"/>
    </x:xf>
    <x:xf numFmtId="0" fontId="17" fillId="9" borderId="41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9" fillId="0" borderId="31" xfId="0" applyNumberFormat="1" applyFont="1" applyFill="1" applyBorder="1"/>
    <x:xf numFmtId="0" fontId="9" fillId="0" borderId="32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17" fillId="9" borderId="5" xfId="0" applyNumberFormat="1" applyFont="1" applyFill="1" applyBorder="1" applyAlignment="1">
      <x:alignment vertical="center" wrapText="1"/>
    </x:xf>
    <x:xf numFmtId="0" fontId="17" fillId="9" borderId="5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7" xfId="0" applyNumberFormat="1" applyFont="1" applyFill="1" applyBorder="1"/>
    <x:xf numFmtId="0" fontId="13" fillId="15" borderId="8" xfId="0" applyNumberFormat="1" applyFont="1" applyFill="1" applyBorder="1"/>
    <x:xf numFmtId="0" fontId="13" fillId="15" borderId="9" xfId="0" applyNumberFormat="1" applyFont="1" applyFill="1" applyBorder="1"/>
    <x:xf numFmtId="0" fontId="13" fillId="15" borderId="31" xfId="0" applyNumberFormat="1" applyFont="1" applyFill="1" applyBorder="1"/>
    <x:xf numFmtId="0" fontId="13" fillId="15" xfId="0" applyNumberFormat="1" applyFont="1" applyFill="1" applyBorder="0"/>
    <x:xf numFmtId="0" fontId="13" fillId="15" borderId="32" xfId="0" applyNumberFormat="1" applyFont="1" applyFill="1" applyBorder="1"/>
    <x:xf numFmtId="0" fontId="13" fillId="15" borderId="10" xfId="0" applyNumberFormat="1" applyFont="1" applyFill="1" applyBorder="1"/>
    <x:xf numFmtId="0" fontId="13" fillId="15" borderId="11" xfId="0" applyNumberFormat="1" applyFont="1" applyFill="1" applyBorder="1"/>
    <x:xf numFmtId="0" fontId="13" fillId="15" borderId="12" xfId="0" applyNumberFormat="1" applyFont="1" applyFill="1" applyBorder="1"/>
    <x:xf numFmtId="0" fontId="13" fillId="15" borderId="7" xfId="0" applyNumberFormat="1" applyFont="1" applyFill="1" applyBorder="1" applyAlignment="1">
      <x:alignment wrapText="1"/>
    </x:xf>
    <x:xf numFmtId="0" fontId="13" fillId="15" borderId="8" xfId="0" applyNumberFormat="1" applyFont="1" applyFill="1" applyBorder="1" applyAlignment="1">
      <x:alignment wrapText="1"/>
    </x:xf>
    <x:xf numFmtId="0" fontId="13" fillId="15" borderId="9" xfId="0" applyNumberFormat="1" applyFont="1" applyFill="1" applyBorder="1" applyAlignment="1">
      <x:alignment wrapText="1"/>
    </x:xf>
    <x:xf numFmtId="0" fontId="13" fillId="15" borderId="31" xfId="0" applyNumberFormat="1" applyFont="1" applyFill="1" applyBorder="1" applyAlignment="1">
      <x:alignment wrapText="1"/>
    </x:xf>
    <x:xf numFmtId="0" fontId="13" fillId="15" xfId="0" applyNumberFormat="1" applyFont="1" applyFill="1" applyBorder="0" applyAlignment="1">
      <x:alignment wrapText="1"/>
    </x:xf>
    <x:xf numFmtId="0" fontId="13" fillId="15" borderId="32" xfId="0" applyNumberFormat="1" applyFont="1" applyFill="1" applyBorder="1" applyAlignment="1">
      <x:alignment wrapText="1"/>
    </x:xf>
    <x:xf numFmtId="0" fontId="13" fillId="15" borderId="10" xfId="0" applyNumberFormat="1" applyFont="1" applyFill="1" applyBorder="1" applyAlignment="1">
      <x:alignment wrapText="1"/>
    </x:xf>
    <x:xf numFmtId="0" fontId="13" fillId="15" borderId="11" xfId="0" applyNumberFormat="1" applyFont="1" applyFill="1" applyBorder="1" applyAlignment="1">
      <x:alignment wrapText="1"/>
    </x:xf>
    <x:xf numFmtId="0" fontId="13" fillId="15" borderId="12" xfId="0" applyNumberFormat="1" applyFont="1" applyFill="1" applyBorder="1" applyAlignment="1">
      <x:alignment wrapText="1"/>
    </x:xf>
    <x:xf numFmtId="0" fontId="13" fillId="15" borderId="7" xfId="0" applyNumberFormat="1" applyFont="1" applyFill="1" applyBorder="1" applyAlignment="1">
      <x:alignment vertical="center" wrapText="1"/>
    </x:xf>
    <x:xf numFmtId="0" fontId="13" fillId="15" borderId="8" xfId="0" applyNumberFormat="1" applyFont="1" applyFill="1" applyBorder="1" applyAlignment="1">
      <x:alignment vertical="center" wrapText="1"/>
    </x:xf>
    <x:xf numFmtId="0" fontId="13" fillId="15" borderId="9" xfId="0" applyNumberFormat="1" applyFont="1" applyFill="1" applyBorder="1" applyAlignment="1">
      <x:alignment vertical="center" wrapText="1"/>
    </x:xf>
    <x:xf numFmtId="0" fontId="13" fillId="15" borderId="31" xfId="0" applyNumberFormat="1" applyFont="1" applyFill="1" applyBorder="1" applyAlignment="1">
      <x:alignment vertical="center" wrapText="1"/>
    </x:xf>
    <x:xf numFmtId="0" fontId="13" fillId="15" xfId="0" applyNumberFormat="1" applyFont="1" applyFill="1" applyBorder="0" applyAlignment="1">
      <x:alignment vertical="center" wrapText="1"/>
    </x:xf>
    <x:xf numFmtId="0" fontId="13" fillId="15" borderId="32" xfId="0" applyNumberFormat="1" applyFont="1" applyFill="1" applyBorder="1" applyAlignment="1">
      <x:alignment vertical="center" wrapText="1"/>
    </x:xf>
    <x:xf numFmtId="0" fontId="13" fillId="15" borderId="10" xfId="0" applyNumberFormat="1" applyFont="1" applyFill="1" applyBorder="1" applyAlignment="1">
      <x:alignment vertical="center" wrapText="1"/>
    </x:xf>
    <x:xf numFmtId="0" fontId="13" fillId="15" borderId="11" xfId="0" applyNumberFormat="1" applyFont="1" applyFill="1" applyBorder="1" applyAlignment="1">
      <x:alignment vertical="center" wrapText="1"/>
    </x:xf>
    <x:xf numFmtId="0" fontId="13" fillId="15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4">
    <x:dxf>
      <x:font>
        <x:b/>
        <x:color rgb="FF1F4E78"/>
      </x:font>
      <x:fill>
        <x:patternFill>
          <x:bgColor rgb="FFEEF4FA"/>
        </x:patternFill>
      </x:fill>
    </x:dxf>
    <x:dxf>
      <x:font>
        <x:b/>
        <x:color rgb="FF1B5E20"/>
      </x:font>
      <x:fill>
        <x:patternFill>
          <x:bgColor rgb="FFE2F0D9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8A5A00"/>
      </x:font>
      <x:fill>
        <x:patternFill>
          <x:bgColor rgb="FFFFF4CC"/>
        </x:patternFill>
      </x:fill>
    </x:dxf>
    <x:dxf>
      <x:font>
        <x:color rgb="FF5F6B7A"/>
      </x:font>
      <x:fill>
        <x:patternFill>
          <x:bgColor rgb="FFF5F5F7"/>
        </x:patternFill>
      </x:fill>
    </x:dxf>
    <x:dxf>
      <x:font>
        <x:b/>
        <x:color rgb="FF1F4E78"/>
      </x:font>
      <x:fill>
        <x:patternFill>
          <x:bgColor rgb="FFEEF4FA"/>
        </x:patternFill>
      </x:fill>
    </x:dxf>
    <x:dxf>
      <x:font>
        <x:b/>
        <x:color rgb="FF1B5E20"/>
      </x:font>
      <x:fill>
        <x:patternFill>
          <x:bgColor rgb="FFE2F0D9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8A5A00"/>
      </x:font>
      <x:fill>
        <x:patternFill>
          <x:bgColor rgb="FFFFF4CC"/>
        </x:patternFill>
      </x:fill>
    </x:dxf>
    <x:dxf>
      <x:font>
        <x:color rgb="FF5F6B7A"/>
      </x:font>
      <x:fill>
        <x:patternFill>
          <x:bgColor rgb="FFF5F5F7"/>
        </x:patternFill>
      </x:fill>
    </x:dxf>
    <x:dxf>
      <x:font>
        <x:b/>
        <x:color rgb="FF1D1D1F"/>
      </x:font>
      <x:fill>
        <x:patternFill>
          <x:bgColor rgb="FFFFCC00"/>
        </x:patternFill>
      </x:fill>
    </x:dxf>
    <x:dxf>
      <x:font>
        <x:color rgb="FF5F6B7A"/>
      </x:font>
      <x:fill>
        <x:patternFill>
          <x:bgColor rgb="FFF5F5F7"/>
        </x:patternFill>
      </x:fill>
    </x:dxf>
    <x:dxf>
      <x:font>
        <x:b/>
        <x:color rgb="FF1F4E78"/>
      </x:font>
      <x:fill>
        <x:patternFill>
          <x:bgColor rgb="FFEEF4FA"/>
        </x:patternFill>
      </x:fill>
    </x:dxf>
    <x:dxf>
      <x:font>
        <x:b/>
        <x:color rgb="FF1B5E20"/>
      </x:font>
      <x:fill>
        <x:patternFill>
          <x:bgColor rgb="FFE2F0D9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8A5A00"/>
      </x:font>
      <x:fill>
        <x:patternFill>
          <x:bgColor rgb="FFFFF4CC"/>
        </x:patternFill>
      </x:fill>
    </x:dxf>
    <x:dxf>
      <x:font>
        <x:color rgb="FF5F6B7A"/>
      </x:font>
      <x:fill>
        <x:patternFill>
          <x:bgColor rgb="FFF5F5F7"/>
        </x:patternFill>
      </x:fill>
    </x:dxf>
    <x:dxf>
      <x:font>
        <x:b/>
        <x:color rgb="FF1F4E78"/>
      </x:font>
      <x:fill>
        <x:patternFill>
          <x:bgColor rgb="FFEEF4FA"/>
        </x:patternFill>
      </x:fill>
    </x:dxf>
    <x:dxf>
      <x:font>
        <x:b/>
        <x:color rgb="FF1B5E20"/>
      </x:font>
      <x:fill>
        <x:patternFill>
          <x:bgColor rgb="FFE2F0D9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8A5A00"/>
      </x:font>
      <x:fill>
        <x:patternFill>
          <x:bgColor rgb="FFFFF4CC"/>
        </x:patternFill>
      </x:fill>
    </x:dxf>
    <x:dxf>
      <x:font>
        <x:color rgb="FF5F6B7A"/>
      </x:font>
      <x:fill>
        <x:patternFill>
          <x:bgColor rgb="FFF5F5F7"/>
        </x:patternFill>
      </x:fill>
    </x:dxf>
    <x:dxf>
      <x:font>
        <x:b/>
        <x:color rgb="FF1F4E78"/>
      </x:font>
      <x:fill>
        <x:patternFill>
          <x:bgColor rgb="FFEEF4FA"/>
        </x:patternFill>
      </x:fill>
    </x:dxf>
    <x:dxf>
      <x:font>
        <x:b/>
        <x:color rgb="FF1B5E20"/>
      </x:font>
      <x:fill>
        <x:patternFill>
          <x:bgColor rgb="FFE2F0D9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8A5A00"/>
      </x:font>
      <x:fill>
        <x:patternFill>
          <x:bgColor rgb="FFFFF4CC"/>
        </x:patternFill>
      </x:fill>
    </x:dxf>
    <x:dxf>
      <x:font>
        <x:color rgb="FF5F6B7A"/>
      </x:font>
      <x:fill>
        <x:patternFill>
          <x:bgColor rgb="FFF5F5F7"/>
        </x:patternFill>
      </x:fill>
    </x:dxf>
    <x:dxf>
      <x:font>
        <x:b/>
        <x:color rgb="FF1D1D1F"/>
      </x:font>
      <x:fill>
        <x:patternFill patternType="solid">
          <x:bgColor rgb="FFFFCC00"/>
        </x:patternFill>
      </x:fill>
    </x:dxf>
    <x:dxf>
      <x:font>
        <x:color rgb="FF5F6B7A"/>
      </x:font>
      <x:fill>
        <x:patternFill patternType="solid">
          <x:bgColor rgb="FFF5F5F7"/>
        </x:patternFill>
      </x:fill>
    </x:dxf>
    <x:dxf>
      <x:font>
        <x:b/>
        <x:color rgb="FF1F4E78"/>
      </x:font>
      <x:fill>
        <x:patternFill patternType="solid">
          <x:bgColor rgb="FFEEF4FA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color rgb="FF5F6B7A"/>
      </x:font>
      <x:fill>
        <x:patternFill patternType="solid">
          <x:bgColor rgb="FFF5F5F7"/>
        </x:patternFill>
      </x:fill>
    </x:dxf>
    <x:dxf>
      <x:font>
        <x:b/>
        <x:color rgb="FF1F4E78"/>
      </x:font>
      <x:fill>
        <x:patternFill patternType="solid">
          <x:bgColor rgb="FFEEF4FA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color rgb="FF5F6B7A"/>
      </x:font>
      <x:fill>
        <x:patternFill patternType="solid">
          <x:bgColor rgb="FFF5F5F7"/>
        </x:patternFill>
      </x:fill>
    </x:dxf>
    <x:dxf>
      <x:font>
        <x:b/>
        <x:color rgb="FF1F4E78"/>
      </x:font>
      <x:fill>
        <x:patternFill patternType="solid">
          <x:bgColor rgb="FFEEF4FA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color rgb="FF5F6B7A"/>
      </x:font>
      <x:fill>
        <x:patternFill patternType="solid">
          <x:bgColor rgb="FFF5F5F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23129fa904bb4" /><Relationship Type="http://schemas.openxmlformats.org/officeDocument/2006/relationships/theme" Target="/xl/theme/theme1.xml" Id="Rb5e2421c649448fc" /><Relationship Type="http://schemas.openxmlformats.org/officeDocument/2006/relationships/sharedStrings" Target="/xl/sharedStrings.xml" Id="Rb0b76a87acb14310" /><Relationship Type="http://schemas.openxmlformats.org/officeDocument/2006/relationships/worksheet" Target="/xl/worksheets/sheet1.xml" Id="Rccf4c9b44a0f445e" /><Relationship Type="http://schemas.openxmlformats.org/officeDocument/2006/relationships/worksheet" Target="/xl/worksheets/sheet2.xml" Id="R603cdb655c7e414d" /><Relationship Type="http://schemas.openxmlformats.org/officeDocument/2006/relationships/worksheet" Target="/xl/worksheets/sheet3.xml" Id="Ra3fafbd7193b4d5d" /><Relationship Type="http://schemas.openxmlformats.org/officeDocument/2006/relationships/worksheet" Target="/xl/worksheets/sheet4.xml" Id="Rc14b99716dd24d82" /><Relationship Type="http://schemas.openxmlformats.org/officeDocument/2006/relationships/worksheet" Target="/xl/worksheets/sheet5.xml" Id="R4e83b63abfa845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4c1fccabe146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48 条用户场景覆盖（按模块）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场景数</c:v>
          </c:tx>
          <c:cat>
            <c:strRef>
              <c:f>'验收说明'!$J$11:$J$20</c:f>
              <c:strCache>
                <c:ptCount val="0"/>
              </c:strCache>
            </c:strRef>
          </c:cat>
          <c:val>
            <c:numRef>
              <c:f>'验收说明'!$K$11:$K$20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4c1fccabe1467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print2PBIJourney" displayName="Sprint2PBIJourney" ref="A13:H21" headerRowCount="1" totalsRowCount="0" totalsRowShown="0">
  <x:autoFilter ref="A13:H21"/>
  <x:tableColumns count="8">
    <x:tableColumn id="1" name="顺序"/>
    <x:tableColumn id="2" name="PBI / AC"/>
    <x:tableColumn id="3" name="用户操作"/>
    <x:tableColumn id="4" name="用户可见结果"/>
    <x:tableColumn id="5" name="主责"/>
    <x:tableColumn id="6" name="SP"/>
    <x:tableColumn id="7" name="Task 数"/>
    <x:tableColumn id="8" name="最少依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rint2BusinessModules" displayName="Sprint2BusinessModules" ref="A24:E28" headerRowCount="1" totalsRowCount="0" totalsRowShown="0">
  <x:autoFilter ref="A24:E28"/>
  <x:tableColumns count="5">
    <x:tableColumn id="1" name="业务模块"/>
    <x:tableColumn id="2" name="包含 PBI"/>
    <x:tableColumn id="3" name="主责开发者"/>
    <x:tableColumn id="4" name="用户价值"/>
    <x:tableColumn id="5" name="最少依赖（避免排成长链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rint2Capacity" displayName="Sprint2Capacity" ref="A32:F36" headerRowCount="1" totalsRowCount="0" totalsRowShown="0">
  <x:autoFilter ref="A32:F36"/>
  <x:tableColumns count="6">
    <x:tableColumn id="1" name="成员"/>
    <x:tableColumn id="2" name="主责 PBI"/>
    <x:tableColumn id="3" name="Day1 开发(h)"/>
    <x:tableColumn id="4" name="Day2 开发(h)"/>
    <x:tableColumn id="5" name="Day3 常规开发(h)"/>
    <x:tableColumn id="6" name="个人合计(h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rint2DayGates" displayName="Sprint2DayGates" ref="A40:E43" headerRowCount="1" totalsRowCount="0" totalsRowShown="0">
  <x:autoFilter ref="A40:E43"/>
  <x:tableColumns count="5">
    <x:tableColumn id="1" name="阶段"/>
    <x:tableColumn id="2" name="投入"/>
    <x:tableColumn id="3" name="本阶段完成什么"/>
    <x:tableColumn id="4" name="日终门禁"/>
    <x:tableColumn id="5" name="未过门禁怎么办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9" name="Sprint2LLMUATChecklist" displayName="Sprint2LLMUATChecklist" ref="A6:O54" headerRowCount="1" totalsRowCount="0" totalsRowShown="0">
  <x:autoFilter ref="A6:O54"/>
  <x:tableColumns count="15">
    <x:tableColumn id="1" name="编号"/>
    <x:tableColumn id="2" name="模块"/>
    <x:tableColumn id="3" name="演示优先级"/>
    <x:tableColumn id="4" name="用户场景/用户目标"/>
    <x:tableColumn id="5" name="前置条件"/>
    <x:tableColumn id="6" name="用户操作步骤"/>
    <x:tableColumn id="7" name="用户应该看到的结果"/>
    <x:tableColumn id="8" name="通过标准"/>
    <x:tableColumn id="9" name="老师现场看什么"/>
    <x:tableColumn id="10" name="证据要求（截图/录屏/测试记录）"/>
    <x:tableColumn id="11" name="关联 PBI/AC"/>
    <x:tableColumn id="12" name="执行人"/>
    <x:tableColumn id="13" name="验收状态"/>
    <x:tableColumn id="14" name="验收日期"/>
    <x:tableColumn id="15" name="备注/问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TeacherLLMDemoScript" displayName="TeacherLLMDemoScript" ref="A5:I17" headerRowCount="1" totalsRowCount="0" totalsRowShown="0">
  <x:autoFilter ref="A5:I17"/>
  <x:tableColumns count="9">
    <x:tableColumn id="1" name="步骤"/>
    <x:tableColumn id="2" name="时间"/>
    <x:tableColumn id="3" name="用户操作"/>
    <x:tableColumn id="4" name="用户应该看到"/>
    <x:tableColumn id="5" name="老师现场判定点"/>
    <x:tableColumn id="6" name="关联 UAT"/>
    <x:tableColumn id="7" name="备用证据/降级"/>
    <x:tableColumn id="8" name="讲解人"/>
    <x:tableColumn id="9" name="耗时(秒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1" name="PBIUATSummaryLLM" displayName="PBIUATSummaryLLM" ref="A5:H13" headerRowCount="1" totalsRowCount="0" totalsRowShown="0">
  <x:autoFilter ref="A5:H13"/>
  <x:tableColumns count="8">
    <x:tableColumn id="1" name="PBI-ID"/>
    <x:tableColumn id="2" name="AC-ID"/>
    <x:tableColumn id="3" name="主责"/>
    <x:tableColumn id="4" name="SP"/>
    <x:tableColumn id="5" name="Task 数"/>
    <x:tableColumn id="6" name="关联场景数"/>
    <x:tableColumn id="7" name="已通过场景"/>
    <x:tableColumn id="8" name="PBI 验收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2" name="UATEvidenceTraceLLM" displayName="UATEvidenceTraceLLM" ref="A16:K64" headerRowCount="1" totalsRowCount="0" totalsRowShown="0">
  <x:autoFilter ref="A16:K64"/>
  <x:tableColumns count="11">
    <x:tableColumn id="1" name="证据编号"/>
    <x:tableColumn id="2" name="场景编号"/>
    <x:tableColumn id="3" name="用户场景/目标"/>
    <x:tableColumn id="4" name="关联 PBI/AC"/>
    <x:tableColumn id="5" name="关联 Task"/>
    <x:tableColumn id="6" name="本条必须保留的证据"/>
    <x:tableColumn id="7" name="当前只读证据（不等于通过）"/>
    <x:tableColumn id="8" name="验收状态"/>
    <x:tableColumn id="9" name="验收日期"/>
    <x:tableColumn id="10" name="执行人"/>
    <x:tableColumn id="11" name="来源/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a784ffb97c4697" /><Relationship Type="http://schemas.openxmlformats.org/officeDocument/2006/relationships/table" Target="/xl/tables/table2.xml" Id="R35ed5fc0ae7f473b" /><Relationship Type="http://schemas.openxmlformats.org/officeDocument/2006/relationships/table" Target="/xl/tables/table3.xml" Id="R537aabd737e1475e" /><Relationship Type="http://schemas.openxmlformats.org/officeDocument/2006/relationships/table" Target="/xl/tables/table4.xml" Id="Re1b01d24da9243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2dbc04a58b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80b3408b1dca41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8faee93f3d6a42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9fa3f8649c354caf" /><Relationship Type="http://schemas.openxmlformats.org/officeDocument/2006/relationships/table" Target="/xl/tables/table8.xml" Id="R947db292705e42b0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4" topLeftCell="A5" activePane="bottomLeft" state="frozen"/>
      <x:selection pane="bottomLeft" activeCell="A5" sqref="A5"/>
    </x:sheetView>
  </x:sheetViews>
  <x:sheetFormatPr baseColWidth="8" defaultRowHeight="15"/>
  <x:cols>
    <x:col min="1" max="1" width="14" customWidth="1"/>
    <x:col min="2" max="2" width="26" customWidth="1"/>
    <x:col min="3" max="3" width="31" customWidth="1"/>
    <x:col min="4" max="4" width="37" customWidth="1"/>
    <x:col min="5" max="5" width="18" customWidth="1"/>
    <x:col min="6" max="6" width="12" customWidth="1"/>
    <x:col min="7" max="7" width="12" customWidth="1"/>
    <x:col min="8" max="8" width="33" customWidth="1"/>
  </x:cols>
  <x:sheetData>
    <x:row r="1" ht="34" customHeight="1">
      <x:c r="A1" s="4" t="str">
        <x:v>行知旅伴 V2.3 · Sprint 2 整体规划（LLM 混合架构教师版）</x:v>
      </x:c>
    </x:row>
    <x:row r="2" ht="28" customHeight="1">
      <x:c r="A2" s="212" t="str">
        <x:v>Sprint Goal：扩展基础 2—3 人公平推荐并接通现实执行证据；同时把自然语言入口与候选选择收敛为可降级的 LLM 辅助，对确认、计算、硬约束、公平和版本状态保持确定性裁决。</x:v>
      </x:c>
      <x:c r="B2" s="213" t="n"/>
      <x:c r="C2" s="213" t="n"/>
      <x:c r="D2" s="213" t="n"/>
      <x:c r="E2" s="213" t="n"/>
      <x:c r="F2" s="213" t="n"/>
      <x:c r="G2" s="213" t="n"/>
      <x:c r="H2" s="214" t="n"/>
    </x:row>
    <x:row r="3" ht="34" customHeight="1">
      <x:c r="A3" s="20" t="str">
        <x:v>Sprint Goal</x:v>
      </x:c>
      <x:c r="B3" s="20" t="str">
        <x:v>90 秒内从对话需求进入一个可解释的 3—4 任务公平方案；随后用一次定位、任务照片、迟到/疲劳、V2/Diff 与回忆完成真实闭环。</x:v>
      </x:c>
      <x:c r="C3" s="213"/>
      <x:c r="D3" s="213"/>
      <x:c r="E3" s="213"/>
      <x:c r="F3" s="213"/>
      <x:c r="G3" s="213"/>
      <x:c r="H3" s="214"/>
    </x:row>
    <x:row r="4" ht="28" customHeight="1">
      <x:c r="A4" s="24" t="inlineStr">
        <x:is>
          <x:t xml:space="preserve">PBI 数</x:t>
        </x:is>
      </x:c>
      <x:c r="B4" s="215" t="n">
        <x:f>COUNTA(B14:B21)</x:f>
        <x:v>8</x:v>
      </x:c>
      <x:c r="C4" s="24" t="inlineStr">
        <x:is>
          <x:t xml:space="preserve">Story Point</x:t>
        </x:is>
      </x:c>
      <x:c r="D4" s="215" t="n">
        <x:f>SUM(F14:F21)</x:f>
        <x:v>36</x:v>
      </x:c>
      <x:c r="E4" s="24" t="inlineStr">
        <x:is>
          <x:t xml:space="preserve">Task 数</x:t>
        </x:is>
      </x:c>
      <x:c r="F4" s="215" t="n">
        <x:f>SUM(G14:G21)</x:f>
        <x:v>24</x:v>
      </x:c>
      <x:c r="G4" s="24" t="inlineStr">
        <x:is>
          <x:t xml:space="preserve">总人时</x:t>
        </x:is>
      </x:c>
      <x:c r="H4" s="215" t="n">
        <x:f>SUM(F33:F36)</x:f>
        <x:v>48</x:v>
      </x:c>
    </x:row>
    <x:row r="6" ht="24" customHeight="1">
      <x:c r="A6" s="216" t="inlineStr">
        <x:is>
          <x:t xml:space="preserve">用户在 Sprint Review 应获得什么</x:t>
        </x:is>
      </x:c>
      <x:c r="B6" s="213" t="n"/>
      <x:c r="C6" s="213" t="n"/>
      <x:c r="D6" s="213" t="n"/>
      <x:c r="E6" s="213" t="n"/>
      <x:c r="F6" s="213" t="n"/>
      <x:c r="G6" s="213" t="n"/>
      <x:c r="H6" s="214" t="n"/>
    </x:row>
    <x:row r="7" ht="34" customHeight="1">
      <x:c r="A7" s="43" t="str">
        <x:v>1</x:v>
      </x:c>
      <x:c r="B7" s="39" t="str">
        <x:v>用户用自然语言描述行程；Agent 生成结构化草稿并按预设问题补齐，用户确认前不规划。</x:v>
      </x:c>
      <x:c r="C7" s="217" t="n"/>
      <x:c r="D7" s="217" t="n"/>
      <x:c r="E7" s="217" t="n"/>
      <x:c r="F7" s="217" t="n"/>
      <x:c r="G7" s="217" t="n"/>
      <x:c r="H7" s="218" t="n"/>
    </x:row>
    <x:row r="8" ht="34" customHeight="1">
      <x:c r="A8" s="43" t="str">
        <x:v>2</x:v>
      </x:c>
      <x:c r="B8" s="39" t="str">
        <x:v>四类关怀通过预设/确认卡完成；LLM 只解释，程序编译确定性硬约束。</x:v>
      </x:c>
      <x:c r="C8" s="217" t="n"/>
      <x:c r="D8" s="217" t="n"/>
      <x:c r="E8" s="217" t="n"/>
      <x:c r="F8" s="217" t="n"/>
      <x:c r="G8" s="217" t="n"/>
      <x:c r="H8" s="218" t="n"/>
    </x:row>
    <x:row r="9" ht="34" customHeight="1">
      <x:c r="A9" s="43" t="str">
        <x:v>3</x:v>
      </x:c>
      <x:c r="B9" s="39" t="str">
        <x:v>Provider 给真实候选；LLM 只提议白名单地点；程序计算每人分数和 max-min，给唯一 3—4 任务方案。</x:v>
      </x:c>
      <x:c r="C9" s="217" t="n"/>
      <x:c r="D9" s="217" t="n"/>
      <x:c r="E9" s="217" t="n"/>
      <x:c r="F9" s="217" t="n"/>
      <x:c r="G9" s="217" t="n"/>
      <x:c r="H9" s="218" t="n"/>
    </x:row>
    <x:row r="10" ht="34" customHeight="1">
      <x:c r="A10" s="43" t="str">
        <x:v>4</x:v>
      </x:c>
      <x:c r="B10" s="39" t="str">
        <x:v>执行时一次定位、任务照片、迟到/疲劳均形成真实事件；候选 V2 未接受前不覆盖当前版本。</x:v>
      </x:c>
      <x:c r="C10" s="217" t="n"/>
      <x:c r="D10" s="217" t="n"/>
      <x:c r="E10" s="217" t="n"/>
      <x:c r="F10" s="217" t="n"/>
      <x:c r="G10" s="217" t="n"/>
      <x:c r="H10" s="218" t="n"/>
    </x:row>
    <x:row r="11" ht="34" customHeight="1">
      <x:c r="A11" s="43" t="str">
        <x:v>5</x:v>
      </x:c>
      <x:c r="B11" s="39" t="str">
        <x:v>回忆按实际事件顺序展示完成率、费用、版本、关怀和未删除照片；界面是精简对话流，移动端可操作。</x:v>
      </x:c>
      <x:c r="C11" s="217" t="n"/>
      <x:c r="D11" s="217" t="n"/>
      <x:c r="E11" s="217" t="n"/>
      <x:c r="F11" s="217" t="n"/>
      <x:c r="G11" s="217" t="n"/>
      <x:c r="H11" s="218" t="n"/>
    </x:row>
    <x:row r="12" ht="24" customHeight="1">
      <x:c r="A12" s="216" t="inlineStr">
        <x:is>
          <x:t xml:space="preserve">8 条 PBI 如何组成一条完整用户旅程</x:t>
        </x:is>
      </x:c>
      <x:c r="B12" s="213" t="n"/>
      <x:c r="C12" s="213" t="n"/>
      <x:c r="D12" s="213" t="n"/>
      <x:c r="E12" s="213" t="n"/>
      <x:c r="F12" s="213" t="n"/>
      <x:c r="G12" s="213" t="n"/>
      <x:c r="H12" s="214" t="n"/>
    </x:row>
    <x:row r="13" ht="32" customHeight="1">
      <x:c r="A13" s="49" t="inlineStr">
        <x:is>
          <x:t xml:space="preserve">顺序</x:t>
        </x:is>
      </x:c>
      <x:c r="B13" s="49" t="inlineStr">
        <x:is>
          <x:t xml:space="preserve">PBI / AC</x:t>
        </x:is>
      </x:c>
      <x:c r="C13" s="49" t="inlineStr">
        <x:is>
          <x:t xml:space="preserve">用户操作</x:t>
        </x:is>
      </x:c>
      <x:c r="D13" s="49" t="inlineStr">
        <x:is>
          <x:t xml:space="preserve">用户可见结果</x:t>
        </x:is>
      </x:c>
      <x:c r="E13" s="49" t="inlineStr">
        <x:is>
          <x:t xml:space="preserve">主责</x:t>
        </x:is>
      </x:c>
      <x:c r="F13" s="49" t="inlineStr">
        <x:is>
          <x:t xml:space="preserve">SP</x:t>
        </x:is>
      </x:c>
      <x:c r="G13" s="49" t="inlineStr">
        <x:is>
          <x:t xml:space="preserve">Task 数</x:t>
        </x:is>
      </x:c>
      <x:c r="H13" s="49" t="inlineStr">
        <x:is>
          <x:t xml:space="preserve">最少依赖</x:t>
        </x:is>
      </x:c>
    </x:row>
    <x:row r="14" ht="54" customHeight="1">
      <x:c r="A14" s="54" t="n">
        <x:v>1</x:v>
      </x:c>
      <x:c r="B14" s="53" t="str">
        <x:v>PBI-07-A / AC-07-A</x:v>
      </x:c>
      <x:c r="C14" s="53" t="str">
        <x:v>自然语言→草稿→预设问题→成员/关怀确认→硬冲突处理。</x:v>
      </x:c>
      <x:c r="D14" s="53" t="str">
        <x:v>结构化字段可核对；缺项/歧义/冲突可见；未确认时阻止规划。</x:v>
      </x:c>
      <x:c r="E14" s="54" t="str">
        <x:v>陈梓元</x:v>
      </x:c>
      <x:c r="F14" s="54" t="n">
        <x:v>5</x:v>
      </x:c>
      <x:c r="G14" s="54" t="n">
        <x:v>4</x:v>
      </x:c>
      <x:c r="H14" s="53" t="str">
        <x:v>复用 TripDraft/Profile；调用1失败回规则解析/表单</x:v>
      </x:c>
    </x:row>
    <x:row r="15" ht="54" customHeight="1">
      <x:c r="A15" s="54" t="n">
        <x:v>2</x:v>
      </x:c>
      <x:c r="B15" s="53" t="str">
        <x:v>PBI-08-A / AC-08-A</x:v>
      </x:c>
      <x:c r="C15" s="53" t="str">
        <x:v>查看 Provider 候选与 AI 白名单提议，再看每人分数与唯一推荐。</x:v>
      </x:c>
      <x:c r="D15" s="53" t="str">
        <x:v>LLM 不造事实；程序按 max-min→平均→费用→绕路→稳定 ID 裁决。</x:v>
      </x:c>
      <x:c r="E15" s="54" t="str">
        <x:v>王敬博（业务）/张琪 T009</x:v>
      </x:c>
      <x:c r="F15" s="54" t="n">
        <x:v>5</x:v>
      </x:c>
      <x:c r="G15" s="54" t="n">
        <x:v>4</x:v>
      </x:c>
      <x:c r="H15" s="53" t="str">
        <x:v>依赖已确认输入与 server-issued FactRef</x:v>
      </x:c>
    </x:row>
    <x:row r="16" ht="54" customHeight="1">
      <x:c r="A16" s="54" t="n">
        <x:v>3</x:v>
      </x:c>
      <x:c r="B16" s="53" t="str">
        <x:v>PBI-11-A / AC-11-A</x:v>
      </x:c>
      <x:c r="C16" s="53" t="str">
        <x:v>确认 Plan V1，1/2/3 人进入同一执行和版本链。</x:v>
      </x:c>
      <x:c r="D16" s="53" t="str">
        <x:v>事件、V1/V2、Diff、接受/拒绝一致，唯一 CURRENT。</x:v>
      </x:c>
      <x:c r="E16" s="54" t="str">
        <x:v>陈梓元</x:v>
      </x:c>
      <x:c r="F16" s="54" t="n">
        <x:v>3</x:v>
      </x:c>
      <x:c r="G16" s="54" t="n">
        <x:v>2</x:v>
      </x:c>
      <x:c r="H16" s="53" t="str">
        <x:v>依赖一个经用户确认的当前版本</x:v>
      </x:c>
    </x:row>
    <x:row r="17" ht="54" customHeight="1">
      <x:c r="A17" s="54" t="n">
        <x:v>4</x:v>
      </x:c>
      <x:c r="B17" s="53" t="str">
        <x:v>PBI-09-A / AC-09-A</x:v>
      </x:c>
      <x:c r="C17" s="53" t="str">
        <x:v>在当前任务主动请求一次定位。</x:v>
      </x:c>
      <x:c r="D17" s="53" t="str">
        <x:v>精度/距离/阈值/来源可见；非自动结果人工确认；不持续追踪。</x:v>
      </x:c>
      <x:c r="E17" s="54" t="str">
        <x:v>张琪</x:v>
      </x:c>
      <x:c r="F17" s="54" t="n">
        <x:v>5</x:v>
      </x:c>
      <x:c r="G17" s="54" t="n">
        <x:v>4</x:v>
      </x:c>
      <x:c r="H17" s="53" t="str">
        <x:v>只依赖 taskId 与目标坐标</x:v>
      </x:c>
    </x:row>
    <x:row r="18" ht="54" customHeight="1">
      <x:c r="A18" s="54" t="n">
        <x:v>5</x:v>
      </x:c>
      <x:c r="B18" s="53" t="str">
        <x:v>PBI-10-A / AC-10-A</x:v>
      </x:c>
      <x:c r="C18" s="53" t="str">
        <x:v>上传/显示/替换/删除任务照片。</x:v>
      </x:c>
      <x:c r="D18" s="53" t="str">
        <x:v>&lt;1.5MB、去 EXIF、每站1/全程8；失败与0张不阻断。</x:v>
      </x:c>
      <x:c r="E18" s="54" t="str">
        <x:v>王敬博</x:v>
      </x:c>
      <x:c r="F18" s="54" t="n">
        <x:v>5</x:v>
      </x:c>
      <x:c r="G18" s="54" t="n">
        <x:v>2</x:v>
      </x:c>
      <x:c r="H18" s="53" t="str">
        <x:v>只依赖 taskId；与 GPS 并行</x:v>
      </x:c>
    </x:row>
    <x:row r="19" ht="54" customHeight="1">
      <x:c r="A19" s="54" t="n">
        <x:v>6</x:v>
      </x:c>
      <x:c r="B19" s="53" t="str">
        <x:v>PBI-11-B / AC-11-B</x:v>
      </x:c>
      <x:c r="C19" s="53" t="str">
        <x:v>用口语记录迟到/疲劳，确认事件并查看候选 V2。</x:v>
      </x:c>
      <x:c r="D19" s="53" t="str">
        <x:v>LLM 只解析/解释；程序换算约束、保留完成/锁定项并维护版本。</x:v>
      </x:c>
      <x:c r="E19" s="54" t="str">
        <x:v>林粲涵</x:v>
      </x:c>
      <x:c r="F19" s="54" t="n">
        <x:v>5</x:v>
      </x:c>
      <x:c r="G19" s="54" t="n">
        <x:v>4</x:v>
      </x:c>
      <x:c r="H19" s="53" t="str">
        <x:v>Day1 冻结事件/V2 Fixture，前后端并行</x:v>
      </x:c>
    </x:row>
    <x:row r="20" ht="54" customHeight="1">
      <x:c r="A20" s="54" t="n">
        <x:v>7</x:v>
      </x:c>
      <x:c r="B20" s="53" t="str">
        <x:v>PBI-12-A / AC-12-A</x:v>
      </x:c>
      <x:c r="C20" s="53" t="str">
        <x:v>结束并打开旅行回忆。</x:v>
      </x:c>
      <x:c r="D20" s="53" t="str">
        <x:v>实际顺序、费用、版本、关怀和未删除照片；0照片/无V2可总结。</x:v>
      </x:c>
      <x:c r="E20" s="54" t="str">
        <x:v>张琪（业务）/王敬博 T018</x:v>
      </x:c>
      <x:c r="F20" s="54" t="n">
        <x:v>5</x:v>
      </x:c>
      <x:c r="G20" s="54" t="n">
        <x:v>2</x:v>
      </x:c>
      <x:c r="H20" s="53" t="str">
        <x:v>张琪聚合接口；王敬博前端</x:v>
      </x:c>
    </x:row>
    <x:row r="21" ht="54" customHeight="1">
      <x:c r="A21" s="54" t="n">
        <x:v>8</x:v>
      </x:c>
      <x:c r="B21" s="53" t="str">
        <x:v>PBI-13-S2 / AC-13-S2</x:v>
      </x:c>
      <x:c r="C21" s="53" t="str">
        <x:v>在单对话壳及 375/768px 设备完成全链。</x:v>
      </x:c>
      <x:c r="D21" s="53" t="str">
        <x:v>一个主操作、无横向滚动、≥44px、加载/错误可见、reduced-motion。</x:v>
      </x:c>
      <x:c r="E21" s="54" t="str">
        <x:v>林粲涵</x:v>
      </x:c>
      <x:c r="F21" s="54" t="n">
        <x:v>3</x:v>
      </x:c>
      <x:c r="G21" s="54" t="n">
        <x:v>2</x:v>
      </x:c>
      <x:c r="H21" s="53" t="str">
        <x:v>横切模块；冻结 Fixture 不等待长链</x:v>
      </x:c>
    </x:row>
    <x:row r="23" ht="24" customHeight="1">
      <x:c r="A23" s="216" t="inlineStr">
        <x:is>
          <x:t xml:space="preserve">四个业务模块、四人分工与最少依赖</x:t>
        </x:is>
      </x:c>
      <x:c r="B23" s="213" t="n"/>
      <x:c r="C23" s="213" t="n"/>
      <x:c r="D23" s="213" t="n"/>
      <x:c r="E23" s="213" t="n"/>
      <x:c r="F23" s="213" t="n"/>
      <x:c r="G23" s="213" t="n"/>
      <x:c r="H23" s="214" t="n"/>
    </x:row>
    <x:row r="24" ht="32" customHeight="1">
      <x:c r="A24" s="49" t="inlineStr">
        <x:is>
          <x:t xml:space="preserve">业务模块</x:t>
        </x:is>
      </x:c>
      <x:c r="B24" s="49" t="inlineStr">
        <x:is>
          <x:t xml:space="preserve">包含 PBI</x:t>
        </x:is>
      </x:c>
      <x:c r="C24" s="49" t="inlineStr">
        <x:is>
          <x:t xml:space="preserve">主责开发者</x:t>
        </x:is>
      </x:c>
      <x:c r="D24" s="49" t="inlineStr">
        <x:is>
          <x:t xml:space="preserve">用户价值</x:t>
        </x:is>
      </x:c>
      <x:c r="E24" s="49" t="inlineStr">
        <x:is>
          <x:t xml:space="preserve">最少依赖（避免排成长链）</x:t>
        </x:is>
      </x:c>
    </x:row>
    <x:row r="25" ht="58" customHeight="1">
      <x:c r="A25" s="39" t="str">
        <x:v>对话输入与关怀确认</x:v>
      </x:c>
      <x:c r="B25" s="39" t="str">
        <x:v>PBI-07-A</x:v>
      </x:c>
      <x:c r="C25" s="39" t="str">
        <x:v>陈梓元</x:v>
      </x:c>
      <x:c r="D25" s="39" t="str">
        <x:v>自然语言变成可确认 Trip/成员/关怀，不让模型越权。</x:v>
      </x:c>
      <x:c r="E25" s="39" t="str">
        <x:v>复用现有 TripDraft/Profile；一次调用+固定问题，不做自由多轮</x:v>
      </x:c>
    </x:row>
    <x:row r="26" ht="58" customHeight="1">
      <x:c r="A26" s="39" t="str">
        <x:v>Provider 候选与公平推荐</x:v>
      </x:c>
      <x:c r="B26" s="39" t="str">
        <x:v>PBI-08-A</x:v>
      </x:c>
      <x:c r="C26" s="39" t="str">
        <x:v>王敬博、张琪</x:v>
      </x:c>
      <x:c r="D26" s="39" t="str">
        <x:v>真实候选→LLM 白名单提议→程序公平唯一方案。</x:v>
      </x:c>
      <x:c r="E26" s="39" t="str">
        <x:v>Day1 冻结 FactRef/评分 Fixture；T009 API 与 T010 页面并行</x:v>
      </x:c>
    </x:row>
    <x:row r="27" ht="58" customHeight="1">
      <x:c r="A27" s="39" t="str">
        <x:v>现实执行与安全版本</x:v>
      </x:c>
      <x:c r="B27" s="39" t="str">
        <x:v>PBI-09-A、10-A、11-A、11-B</x:v>
      </x:c>
      <x:c r="C27" s="39" t="str">
        <x:v>四人按 Task 协作</x:v>
      </x:c>
      <x:c r="D27" s="39" t="str">
        <x:v>定位、照片、事件、候选 V2 和接受/拒绝形成可证闭环。</x:v>
      </x:c>
      <x:c r="E27" s="39" t="str">
        <x:v>统一 Event/Version 契约；GPS/照片/事件互不等待</x:v>
      </x:c>
    </x:row>
    <x:row r="28" ht="58" customHeight="1">
      <x:c r="A28" s="39" t="str">
        <x:v>回忆与精简移动体验</x:v>
      </x:c>
      <x:c r="B28" s="39" t="str">
        <x:v>PBI-12-A、13-S2</x:v>
      </x:c>
      <x:c r="C28" s="39" t="str">
        <x:v>张琪、王敬博、林粲涵</x:v>
      </x:c>
      <x:c r="D28" s="39" t="str">
        <x:v>用一条对话流收束执行结果和真实回忆。</x:v>
      </x:c>
      <x:c r="E28" s="39" t="str">
        <x:v>T017 聚合/T018 页面；375/768 与状态反馈横切</x:v>
      </x:c>
    </x:row>
    <x:row r="29" ht="36" customHeight="1">
      <x:c r="A29" s="219" t="str">
        <x:v>团队规则：四人都是开发者并兼任 PO/SM/QA；“王敬博做前端、张琪写接口”仅说明本次 T009/T010/T017/T018 的任务边界，不定义固定技术岗位；PR 不设固定搭档。</x:v>
      </x:c>
      <x:c r="B29" s="213" t="n"/>
      <x:c r="C29" s="213" t="n"/>
      <x:c r="D29" s="213" t="n"/>
      <x:c r="E29" s="213" t="n"/>
      <x:c r="F29" s="213" t="n"/>
      <x:c r="G29" s="213" t="n"/>
      <x:c r="H29" s="214" t="n"/>
    </x:row>
    <x:row r="31" ht="24" customHeight="1">
      <x:c r="A31" s="216" t="inlineStr">
        <x:is>
          <x:t xml:space="preserve">48 人时容量：Day1 + Day2 开发，Day3 只联调验收</x:t>
        </x:is>
      </x:c>
      <x:c r="B31" s="213" t="n"/>
      <x:c r="C31" s="213" t="n"/>
      <x:c r="D31" s="213" t="n"/>
      <x:c r="E31" s="213" t="n"/>
      <x:c r="F31" s="213" t="n"/>
      <x:c r="G31" s="213" t="n"/>
      <x:c r="H31" s="214" t="n"/>
    </x:row>
    <x:row r="32" ht="32" customHeight="1">
      <x:c r="A32" s="49" t="inlineStr">
        <x:is>
          <x:t xml:space="preserve">成员</x:t>
        </x:is>
      </x:c>
      <x:c r="B32" s="49" t="inlineStr">
        <x:is>
          <x:t xml:space="preserve">主责 PBI</x:t>
        </x:is>
      </x:c>
      <x:c r="C32" s="49" t="inlineStr">
        <x:is>
          <x:t xml:space="preserve">Day1 开发(h)</x:t>
        </x:is>
      </x:c>
      <x:c r="D32" s="49" t="inlineStr">
        <x:is>
          <x:t xml:space="preserve">Day2 开发(h)</x:t>
        </x:is>
      </x:c>
      <x:c r="E32" s="49" t="inlineStr">
        <x:is>
          <x:t xml:space="preserve">Day3 常规开发(h)</x:t>
        </x:is>
      </x:c>
      <x:c r="F32" s="49" t="inlineStr">
        <x:is>
          <x:t xml:space="preserve">个人合计(h)</x:t>
        </x:is>
      </x:c>
    </x:row>
    <x:row r="33">
      <x:c r="A33" s="39" t="inlineStr">
        <x:is>
          <x:t xml:space="preserve">陈梓元</x:t>
        </x:is>
      </x:c>
      <x:c r="B33" s="39" t="inlineStr">
        <x:is>
          <x:t xml:space="preserve">PBI-07-A、PBI-11-A</x:t>
        </x:is>
      </x:c>
      <x:c r="C33" s="220" t="n">
        <x:v>6</x:v>
      </x:c>
      <x:c r="D33" s="220" t="n">
        <x:v>6</x:v>
      </x:c>
      <x:c r="E33" s="220" t="n">
        <x:v>0</x:v>
      </x:c>
      <x:c r="F33" s="220" t="n">
        <x:f>SUM(C33:E33)</x:f>
        <x:v>12</x:v>
      </x:c>
    </x:row>
    <x:row r="34">
      <x:c r="A34" s="39" t="inlineStr">
        <x:is>
          <x:t xml:space="preserve">王敬博</x:t>
        </x:is>
      </x:c>
      <x:c r="B34" s="39" t="inlineStr">
        <x:is>
          <x:t xml:space="preserve">PBI-08-A、PBI-10-A</x:t>
        </x:is>
      </x:c>
      <x:c r="C34" s="220" t="n">
        <x:v>6</x:v>
      </x:c>
      <x:c r="D34" s="220" t="n">
        <x:v>6</x:v>
      </x:c>
      <x:c r="E34" s="220" t="n">
        <x:v>0</x:v>
      </x:c>
      <x:c r="F34" s="220" t="n">
        <x:f>SUM(C34:E34)</x:f>
        <x:v>12</x:v>
      </x:c>
    </x:row>
    <x:row r="35">
      <x:c r="A35" s="39" t="inlineStr">
        <x:is>
          <x:t xml:space="preserve">张琪</x:t>
        </x:is>
      </x:c>
      <x:c r="B35" s="39" t="inlineStr">
        <x:is>
          <x:t xml:space="preserve">PBI-09-A、PBI-12-A</x:t>
        </x:is>
      </x:c>
      <x:c r="C35" s="220" t="n">
        <x:v>6</x:v>
      </x:c>
      <x:c r="D35" s="220" t="n">
        <x:v>6</x:v>
      </x:c>
      <x:c r="E35" s="220" t="n">
        <x:v>0</x:v>
      </x:c>
      <x:c r="F35" s="220" t="n">
        <x:f>SUM(C35:E35)</x:f>
        <x:v>12</x:v>
      </x:c>
    </x:row>
    <x:row r="36">
      <x:c r="A36" s="39" t="inlineStr">
        <x:is>
          <x:t xml:space="preserve">林粲涵</x:t>
        </x:is>
      </x:c>
      <x:c r="B36" s="39" t="inlineStr">
        <x:is>
          <x:t xml:space="preserve">PBI-11-B、PBI-13-S2</x:t>
        </x:is>
      </x:c>
      <x:c r="C36" s="220" t="n">
        <x:v>6</x:v>
      </x:c>
      <x:c r="D36" s="220" t="n">
        <x:v>6</x:v>
      </x:c>
      <x:c r="E36" s="220" t="n">
        <x:v>0</x:v>
      </x:c>
      <x:c r="F36" s="220" t="n">
        <x:f>SUM(C36:E36)</x:f>
        <x:v>12</x:v>
      </x:c>
    </x:row>
    <x:row r="37">
      <x:c r="A37" s="69" t="inlineStr">
        <x:is>
          <x:t xml:space="preserve">合计</x:t>
        </x:is>
      </x:c>
      <x:c r="B37" s="69" t="n"/>
      <x:c r="C37" s="221" t="n">
        <x:f>SUM(C33:C36)</x:f>
        <x:v>24</x:v>
      </x:c>
      <x:c r="D37" s="221" t="n">
        <x:f>SUM(D33:D36)</x:f>
        <x:v>24</x:v>
      </x:c>
      <x:c r="E37" s="221" t="n">
        <x:f>SUM(E33:E36)</x:f>
        <x:v>0</x:v>
      </x:c>
      <x:c r="F37" s="221" t="n">
        <x:f>SUM(F33:F36)</x:f>
        <x:v>48</x:v>
      </x:c>
    </x:row>
    <x:row r="39" ht="24" customHeight="1">
      <x:c r="A39" s="216" t="inlineStr">
        <x:is>
          <x:t xml:space="preserve">Day1 / Day2 / Day3 推进与门禁</x:t>
        </x:is>
      </x:c>
      <x:c r="B39" s="213" t="n"/>
      <x:c r="C39" s="213" t="n"/>
      <x:c r="D39" s="213" t="n"/>
      <x:c r="E39" s="213" t="n"/>
      <x:c r="F39" s="213" t="n"/>
      <x:c r="G39" s="213" t="n"/>
      <x:c r="H39" s="214" t="n"/>
    </x:row>
    <x:row r="40" ht="32" customHeight="1">
      <x:c r="A40" s="49" t="inlineStr">
        <x:is>
          <x:t xml:space="preserve">阶段</x:t>
        </x:is>
      </x:c>
      <x:c r="B40" s="49" t="inlineStr">
        <x:is>
          <x:t xml:space="preserve">投入</x:t>
        </x:is>
      </x:c>
      <x:c r="C40" s="49" t="inlineStr">
        <x:is>
          <x:t xml:space="preserve">本阶段完成什么</x:t>
        </x:is>
      </x:c>
      <x:c r="D40" s="49" t="inlineStr">
        <x:is>
          <x:t xml:space="preserve">日终门禁</x:t>
        </x:is>
      </x:c>
      <x:c r="E40" s="49" t="inlineStr">
        <x:is>
          <x:t xml:space="preserve">未过门禁怎么办</x:t>
        </x:is>
      </x:c>
    </x:row>
    <x:row r="41" ht="64" customHeight="1">
      <x:c r="A41" s="39" t="str">
        <x:v>Day1（项目 Day4）</x:v>
      </x:c>
      <x:c r="B41" s="39" t="str">
        <x:v>24h；每人 6h</x:v>
      </x:c>
      <x:c r="C41" s="39" t="str">
        <x:v>冻结 TripUnderstanding/FactRef/评分/事件/V2/回忆 Fixture；完成对话壳、确定性规则与各模块独立可演。</x:v>
      </x:c>
      <x:c r="D41" s="39" t="str">
        <x:v>调用1 strict+降级可用；四类关怀确认；FactRef/公平/事件规则可复算；375px 骨架可操作。</x:v>
      </x:c>
      <x:c r="E41" s="39" t="str">
        <x:v>只修契约和阻断；不做自由聊天、双方案或新工作台。</x:v>
      </x:c>
    </x:row>
    <x:row r="42" ht="64" customHeight="1">
      <x:c r="A42" s="39" t="str">
        <x:v>Day2（项目 Day5）</x:v>
      </x:c>
      <x:c r="B42" s="39" t="str">
        <x:v>24h；每人 6h</x:v>
      </x:c>
      <x:c r="C42" s="39" t="str">
        <x:v>按冻结契约并行接真实服务：调用2→公平唯一方案→执行→证据→事件→V2/Diff→回忆。</x:v>
      </x:c>
      <x:c r="D42" s="39" t="str">
        <x:v>90 秒规划链与三人完整链跑通；1/2/3 回归；所有 LLM 失败都有结构化降级。</x:v>
      </x:c>
      <x:c r="E42" s="39" t="str">
        <x:v>T024 从早上滚动准备证据；真实接口不阻止各 UI 用 Fixture 开工。</x:v>
      </x:c>
    </x:row>
    <x:row r="43" ht="64" customHeight="1">
      <x:c r="A43" s="39" t="str">
        <x:v>Day3（项目 Day6）</x:v>
      </x:c>
      <x:c r="B43" s="39" t="str">
        <x:v>常规开发 0h</x:v>
      </x:c>
      <x:c r="C43" s="39" t="str">
        <x:v>联合联调、48 条 UAT、Review、彩排、证据归档；只修 P0/P1。</x:v>
      </x:c>
      <x:c r="D43" s="39" t="str">
        <x:v>8—12 分钟主链稳定；唯一 CURRENT；无伪造事实/伪 PASS；状态与证据可追溯。</x:v>
      </x:c>
      <x:c r="E43" s="39" t="str">
        <x:v>未通过项如实记失败/阻塞；不靠代码/单测冒充用户完成。</x:v>
      </x:c>
    </x:row>
    <x:row r="45" ht="24" customHeight="1">
      <x:c r="A45" s="216" t="inlineStr">
        <x:is>
          <x:t xml:space="preserve">48 人时内的最小可展示边界、主要风险与降级策略</x:t>
        </x:is>
      </x:c>
      <x:c r="B45" s="213" t="n"/>
      <x:c r="C45" s="213" t="n"/>
      <x:c r="D45" s="213" t="n"/>
      <x:c r="E45" s="213" t="n"/>
      <x:c r="F45" s="213" t="n"/>
      <x:c r="G45" s="213" t="n"/>
      <x:c r="H45" s="214" t="n"/>
    </x:row>
    <x:row r="46" ht="32" customHeight="1">
      <x:c r="A46" s="49" t="inlineStr">
        <x:is>
          <x:t xml:space="preserve">优先级</x:t>
        </x:is>
      </x:c>
      <x:c r="B46" s="49" t="inlineStr">
        <x:is>
          <x:t xml:space="preserve">必须守住的用户边界</x:t>
        </x:is>
      </x:c>
      <x:c r="C46" s="49" t="inlineStr">
        <x:is>
          <x:t xml:space="preserve">风险信号</x:t>
        </x:is>
      </x:c>
      <x:c r="D46" s="49" t="inlineStr">
        <x:is>
          <x:t xml:space="preserve">降级策略</x:t>
        </x:is>
      </x:c>
      <x:c r="E46" s="49" t="inlineStr">
        <x:is>
          <x:t xml:space="preserve">状态判断</x:t>
        </x:is>
      </x:c>
    </x:row>
    <x:row r="47" ht="70" customHeight="1">
      <x:c r="A47" s="53" t="str">
        <x:v>P0 规划链</x:v>
      </x:c>
      <x:c r="B47" s="53" t="str">
        <x:v>对话→一次 LLM 草稿→预设问题/关怀确认→Provider→一次 LLM 白名单提议→程序公平唯一方案。</x:v>
      </x:c>
      <x:c r="C47" s="53" t="str">
        <x:v>模型超时/格式错、问题循环、90 秒超时。</x:v>
      </x:c>
      <x:c r="D47" s="53" t="str">
        <x:v>规则解析/表单 + 确定性候选枚举；不发第三次修复调用。</x:v>
      </x:c>
      <x:c r="E47" s="53" t="str">
        <x:v>缺确认门或唯一方案即未达标。</x:v>
      </x:c>
    </x:row>
    <x:row r="48" ht="70" customHeight="1">
      <x:c r="A48" s="53" t="str">
        <x:v>事实信任</x:v>
      </x:c>
      <x:c r="B48" s="53" t="str">
        <x:v>地点/路线/价格/设施必须由服务端 FactRef/digest 恢复。</x:v>
      </x:c>
      <x:c r="C48" s="53" t="str">
        <x:v>现有生成接口接收客户端内嵌 Provider 事实，可被伪造。</x:v>
      </x:c>
      <x:c r="D48" s="53" t="str">
        <x:v>第二次 LLM 前先补 FactRef；未修前不让模型/客户端影响签发。</x:v>
      </x:c>
      <x:c r="E48" s="53" t="str">
        <x:v>伪造事实进入 Plan 即阻塞。</x:v>
      </x:c>
    </x:row>
    <x:row r="49" ht="70" customHeight="1">
      <x:c r="A49" s="53" t="str">
        <x:v>公平裁决</x:v>
      </x:c>
      <x:c r="B49" s="53" t="str">
        <x:v>每人 0—100、扣分、max-min 唯一推荐。</x:v>
      </x:c>
      <x:c r="C49" s="53" t="str">
        <x:v>现有无多人公平，且 satisfactionLoss 可由请求方提交。</x:v>
      </x:c>
      <x:c r="D49" s="53" t="str">
        <x:v>服务端确定性计算；固定可复算候选。</x:v>
      </x:c>
      <x:c r="E49" s="53" t="str">
        <x:v>LLM/客户端自报分数即失败。</x:v>
      </x:c>
    </x:row>
    <x:row r="50" ht="70" customHeight="1">
      <x:c r="A50" s="53" t="str">
        <x:v>执行安全</x:v>
      </x:c>
      <x:c r="B50" s="53" t="str">
        <x:v>GPS/照片/事件失败不锁死；V2 未接受不覆盖。</x:v>
      </x:c>
      <x:c r="C50" s="53" t="str">
        <x:v>权限/存储/模型/Provider 不稳定。</x:v>
      </x:c>
      <x:c r="D50" s="53" t="str">
        <x:v>人工确认、重试、结构化 Diff、旧 CURRENT 回退。</x:v>
      </x:c>
      <x:c r="E50" s="53" t="str">
        <x:v>状态不变量失败即阻塞。</x:v>
      </x:c>
    </x:row>
    <x:row r="51" ht="70" customHeight="1">
      <x:c r="A51" s="53" t="str">
        <x:v>界面与公网</x:v>
      </x:c>
      <x:c r="B51" s="53" t="str">
        <x:v>单对话壳、375/768、44px、状态可见。</x:v>
      </x:c>
      <x:c r="C51" s="53" t="str">
        <x:v>2026-08-26 11:55 Web 404，API health 超时；现有控件偏小。</x:v>
      </x:c>
      <x:c r="D51" s="53" t="str">
        <x:v>优先本地同构建演示并记录公网阻塞；不把本地替代写成公网通过。</x:v>
      </x:c>
      <x:c r="E51" s="53" t="str">
        <x:v>无用户页面不可验收公网。</x:v>
      </x:c>
    </x:row>
    <x:row r="52" ht="70" customHeight="1">
      <x:c r="A52" s="53" t="str">
        <x:v>安全与范围</x:v>
      </x:c>
      <x:c r="B52" s="53" t="str">
        <x:v>Key 仅后端；日志脱敏；两次主流程调用。</x:v>
      </x:c>
      <x:c r="C52" s="53" t="str">
        <x:v>仓库历史有疑似凭据；临时加入自由聊天/双方案。</x:v>
      </x:c>
      <x:c r="D52" s="53" t="str">
        <x:v>先轮换/清历史/secret scan；立即停止范围外工作。</x:v>
      </x:c>
      <x:c r="E52" s="53" t="str">
        <x:v>密钥泄露或模型直连浏览器即阻塞。</x:v>
      </x:c>
    </x:row>
    <x:row r="54" ht="24" customHeight="1">
      <x:c r="A54" s="216" t="inlineStr">
        <x:is>
          <x:t xml:space="preserve">Sprint Review：老师应该看到什么（不是看到多少代码）</x:t>
        </x:is>
      </x:c>
      <x:c r="B54" s="213" t="n"/>
      <x:c r="C54" s="213" t="n"/>
      <x:c r="D54" s="213" t="n"/>
      <x:c r="E54" s="213" t="n"/>
      <x:c r="F54" s="213" t="n"/>
      <x:c r="G54" s="213" t="n"/>
      <x:c r="H54" s="214" t="n"/>
    </x:row>
    <x:row r="55" ht="36" customHeight="1">
      <x:c r="A55" s="75" t="str">
        <x:v>01</x:v>
      </x:c>
      <x:c r="B55" s="39" t="str">
        <x:v>90 秒对话规划：自然语言被结构化、缺项被引导、关怀被确认；LLM 失败仍可继续。</x:v>
      </x:c>
      <x:c r="C55" s="217" t="n"/>
      <x:c r="D55" s="217" t="n"/>
      <x:c r="E55" s="217" t="n"/>
      <x:c r="F55" s="217" t="n"/>
      <x:c r="G55" s="217" t="n"/>
      <x:c r="H55" s="218" t="n"/>
    </x:row>
    <x:row r="56" ht="36" customHeight="1">
      <x:c r="A56" s="75" t="str">
        <x:v>02</x:v>
      </x:c>
      <x:c r="B56" s="39" t="str">
        <x:v>真实候选与公平：Provider 来源/时间/未知可见，LLM 只选白名单，程序给每人分数与唯一 3—4 任务方案。</x:v>
      </x:c>
      <x:c r="C56" s="217" t="n"/>
      <x:c r="D56" s="217" t="n"/>
      <x:c r="E56" s="217" t="n"/>
      <x:c r="F56" s="217" t="n"/>
      <x:c r="G56" s="217" t="n"/>
      <x:c r="H56" s="218" t="n"/>
    </x:row>
    <x:row r="57" ht="36" customHeight="1">
      <x:c r="A57" s="75" t="str">
        <x:v>03</x:v>
      </x:c>
      <x:c r="B57" s="39" t="str">
        <x:v>现实执行：一次定位来源诚实；照片被压缩去 EXIF 并绑定任务，失败不阻断。</x:v>
      </x:c>
      <x:c r="C57" s="217" t="n"/>
      <x:c r="D57" s="217" t="n"/>
      <x:c r="E57" s="217" t="n"/>
      <x:c r="F57" s="217" t="n"/>
      <x:c r="G57" s="217" t="n"/>
      <x:c r="H57" s="218" t="n"/>
    </x:row>
    <x:row r="58" ht="36" customHeight="1">
      <x:c r="A58" s="75" t="str">
        <x:v>04</x:v>
      </x:c>
      <x:c r="B58" s="39" t="str">
        <x:v>重规划：迟到/疲劳口语只生成事件草稿；程序保留完成/锁定任务，候选 V2 接受前不覆盖。</x:v>
      </x:c>
      <x:c r="C58" s="217" t="n"/>
      <x:c r="D58" s="217" t="n"/>
      <x:c r="E58" s="217" t="n"/>
      <x:c r="F58" s="217" t="n"/>
      <x:c r="G58" s="217" t="n"/>
      <x:c r="H58" s="218" t="n"/>
    </x:row>
    <x:row r="59" ht="36" customHeight="1">
      <x:c r="A59" s="75" t="str">
        <x:v>05</x:v>
      </x:c>
      <x:c r="B59" s="39" t="str">
        <x:v>旅行回忆：实际顺序、完成率、费用、版本、关怀和未删除照片相互可核对。</x:v>
      </x:c>
      <x:c r="C59" s="217" t="n"/>
      <x:c r="D59" s="217" t="n"/>
      <x:c r="E59" s="217" t="n"/>
      <x:c r="F59" s="217" t="n"/>
      <x:c r="G59" s="217" t="n"/>
      <x:c r="H59" s="218" t="n"/>
    </x:row>
    <x:row r="60" ht="36" customHeight="1">
      <x:c r="A60" s="75" t="str">
        <x:v>06</x:v>
      </x:c>
      <x:c r="B60" s="39" t="str">
        <x:v>精简移动体验：单对话壳、一个主操作、375/768、44px、加载/错误/reduced-motion 与证据状态。</x:v>
      </x:c>
      <x:c r="C60" s="217" t="n"/>
      <x:c r="D60" s="217" t="n"/>
      <x:c r="E60" s="217" t="n"/>
      <x:c r="F60" s="217" t="n"/>
      <x:c r="G60" s="217" t="n"/>
      <x:c r="H60" s="218" t="n"/>
    </x:row>
  </x:sheetData>
  <x:mergeCells>
    <x:mergeCell ref="A39:H39"/>
    <x:mergeCell ref="B9:H9"/>
    <x:mergeCell ref="B55:H55"/>
    <x:mergeCell ref="A45:H45"/>
    <x:mergeCell ref="A1:H1"/>
    <x:mergeCell ref="A6:H6"/>
    <x:mergeCell ref="A54:H54"/>
    <x:mergeCell ref="B7:H7"/>
    <x:mergeCell ref="B59:H59"/>
    <x:mergeCell ref="B3:H3"/>
    <x:mergeCell ref="A12:H12"/>
    <x:mergeCell ref="B56:H56"/>
    <x:mergeCell ref="B58:H58"/>
    <x:mergeCell ref="A2:H2"/>
    <x:mergeCell ref="B11:H11"/>
    <x:mergeCell ref="A23:H23"/>
    <x:mergeCell ref="B60:H60"/>
    <x:mergeCell ref="B8:H8"/>
    <x:mergeCell ref="A29:H29"/>
    <x:mergeCell ref="B57:H57"/>
    <x:mergeCell ref="B10:H10"/>
    <x:mergeCell ref="A31:H31"/>
  </x:mergeCells>
  <x:printOptions horizontalCentered="0" verticalCentered="0" gridLines="0" headings="0"/>
  <x:pageMargins left="0.3" right="0.3" top="0.5" bottom="0.5" header="0.2" footer="0.2"/>
  <x:pageSetup paperSize="9" orientation="landscape" fitToWidth="1" fitToHeight="0" blackAndWhite="0" draft="0"/>
  <x:headerFooter>
    <x:oddFooter>&amp;L行知旅伴 V2.3&amp;R第 &amp;P / &amp;N 页</x:oddFooter>
  </x:headerFooter>
  <x:tableParts count="4">
    <x:tablePart xmlns:r="http://schemas.openxmlformats.org/officeDocument/2006/relationships" r:id="Ra1a784ffb97c4697"/>
    <x:tablePart xmlns:r="http://schemas.openxmlformats.org/officeDocument/2006/relationships" r:id="R35ed5fc0ae7f473b"/>
    <x:tablePart xmlns:r="http://schemas.openxmlformats.org/officeDocument/2006/relationships" r:id="R537aabd737e1475e"/>
    <x:tablePart xmlns:r="http://schemas.openxmlformats.org/officeDocument/2006/relationships" r:id="Re1b01d24da92431b"/>
  </x:tableParts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  <x:selection pane="bottomLeft" activeCell="A6" sqref="A6"/>
    </x:sheetView>
  </x:sheetViews>
  <x:sheetFormatPr baseColWidth="8" defaultRowHeight="15"/>
  <x:cols>
    <x:col min="1" max="1" width="17" hidden="0" customWidth="1"/>
    <x:col min="2" max="2" width="25" hidden="0" customWidth="1"/>
    <x:col min="3" max="3" width="15" hidden="0" customWidth="1"/>
    <x:col min="4" max="4" width="17" hidden="0" customWidth="1"/>
    <x:col min="5" max="5" width="15" hidden="0" customWidth="1"/>
    <x:col min="6" max="6" width="17" hidden="0" customWidth="1"/>
    <x:col min="7" max="7" width="15" hidden="0" customWidth="1"/>
    <x:col min="8" max="8" width="24" hidden="0" customWidth="1"/>
    <x:col min="10" max="10" width="18" hidden="0" customWidth="1"/>
    <x:col min="11" max="11" width="10" hidden="0" customWidth="1"/>
    <x:col min="12" max="12" width="3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34" customHeight="1">
      <x:c r="A1" s="4" t="str">
        <x:v>Sprint 2 用户功能验收说明（LLM 混合架构修订）</x:v>
      </x:c>
    </x:row>
    <x:row r="2" ht="32" customHeight="1">
      <x:c r="A2" s="212" t="str">
        <x:v>验收原则：只按“用户做什么、看到什么、什么算通过”判断。LLM 输出、接口、代码、单测或页面占位均不能直接等于用户功能完成；所有正式状态与事实仍由程序守卫。</x:v>
      </x:c>
      <x:c r="B2" s="213" t="n"/>
      <x:c r="C2" s="213" t="n"/>
      <x:c r="D2" s="213" t="n"/>
      <x:c r="E2" s="213" t="n"/>
      <x:c r="F2" s="213" t="n"/>
      <x:c r="G2" s="213" t="n"/>
      <x:c r="H2" s="214" t="n"/>
      <x:c r="J2" s="115" t="inlineStr">
        <x:is>
          <x:t xml:space="preserve">验收状态</x:t>
        </x:is>
      </x:c>
      <x:c r="K2" s="115" t="inlineStr">
        <x:is>
          <x:t xml:space="preserve">数量</x:t>
        </x:is>
      </x:c>
    </x:row>
    <x:row r="3" ht="28" customHeight="1">
      <x:c r="A3" s="78" t="inlineStr">
        <x:is>
          <x:t xml:space="preserve">验收场景</x:t>
        </x:is>
      </x:c>
      <x:c r="B3" s="214" t="n"/>
      <x:c r="C3" s="78" t="inlineStr">
        <x:is>
          <x:t xml:space="preserve">必演场景</x:t>
        </x:is>
      </x:c>
      <x:c r="D3" s="214" t="n"/>
      <x:c r="E3" s="78" t="inlineStr">
        <x:is>
          <x:t xml:space="preserve">当前通过</x:t>
        </x:is>
      </x:c>
      <x:c r="F3" s="214" t="n"/>
      <x:c r="G3" s="78" t="inlineStr">
        <x:is>
          <x:t xml:space="preserve">执行率</x:t>
        </x:is>
      </x:c>
      <x:c r="H3" s="214" t="n"/>
      <x:c r="J3" s="39" t="inlineStr">
        <x:is>
          <x:t xml:space="preserve">未执行</x:t>
        </x:is>
      </x:c>
      <x:c r="K3" s="39" t="n">
        <x:f>COUNTIF('用户功能验收清单'!$M$7:$M$54,J3)</x:f>
        <x:v>48</x:v>
      </x:c>
    </x:row>
    <x:row r="4" ht="28" customHeight="1">
      <x:c r="A4" s="83" t="n">
        <x:f>'用户功能验收清单'!B3</x:f>
        <x:v>48</x:v>
      </x:c>
      <x:c r="B4" s="222" t="n"/>
      <x:c r="C4" s="83" t="n">
        <x:f>'用户功能验收清单'!D3</x:f>
        <x:v>20</x:v>
      </x:c>
      <x:c r="D4" s="222" t="n"/>
      <x:c r="E4" s="83" t="n">
        <x:f>'用户功能验收清单'!F3</x:f>
        <x:v>0</x:v>
      </x:c>
      <x:c r="F4" s="222" t="n"/>
      <x:c r="G4" s="223" t="n">
        <x:f>'用户功能验收清单'!J3</x:f>
        <x:v>0</x:v>
      </x:c>
      <x:c r="H4" s="222" t="n"/>
      <x:c r="J4" s="39" t="inlineStr">
        <x:is>
          <x:t xml:space="preserve">通过</x:t>
        </x:is>
      </x:c>
      <x:c r="K4" s="39" t="n">
        <x:f>COUNTIF('用户功能验收清单'!$M$7:$M$54,J4)</x:f>
        <x:v>0</x:v>
      </x:c>
    </x:row>
    <x:row r="5" ht="28" customHeight="1">
      <x:c r="A5" s="224" t="n"/>
      <x:c r="B5" s="225" t="n"/>
      <x:c r="C5" s="224" t="n"/>
      <x:c r="D5" s="225" t="n"/>
      <x:c r="E5" s="224" t="n"/>
      <x:c r="F5" s="225" t="n"/>
      <x:c r="G5" s="224" t="n"/>
      <x:c r="H5" s="225" t="n"/>
      <x:c r="J5" s="39" t="inlineStr">
        <x:is>
          <x:t xml:space="preserve">失败</x:t>
        </x:is>
      </x:c>
      <x:c r="K5" s="39" t="n">
        <x:f>COUNTIF('用户功能验收清单'!$M$7:$M$54,J5)</x:f>
        <x:v>0</x:v>
      </x:c>
    </x:row>
    <x:row r="6">
      <x:c r="J6" s="39" t="inlineStr">
        <x:is>
          <x:t xml:space="preserve">阻塞</x:t>
        </x:is>
      </x:c>
      <x:c r="K6" s="39" t="n">
        <x:f>COUNTIF('用户功能验收清单'!$M$7:$M$54,J6)</x:f>
        <x:v>0</x:v>
      </x:c>
    </x:row>
    <x:row r="7">
      <x:c r="A7" s="226" t="str">
        <x:v>当前证据快照（2026-08-26 11:55 +08:00）：仓库无 LLM 运行时，Trip 仍限制单人，多人公平/GPS/照片/事件/回忆均未获 QA/PO 用户签收；Web 首页/工作区返回 404，API /health 超时。因此 48 条场景全部默认“未执行”，不得从代码或接口推断为通过。</x:v>
      </x:c>
      <x:c r="B7" s="227" t="n"/>
      <x:c r="C7" s="227" t="n"/>
      <x:c r="D7" s="227" t="n"/>
      <x:c r="E7" s="227" t="n"/>
      <x:c r="F7" s="227" t="n"/>
      <x:c r="G7" s="227" t="n"/>
      <x:c r="H7" s="228" t="n"/>
      <x:c r="J7" s="39" t="inlineStr">
        <x:is>
          <x:t xml:space="preserve">不适用</x:t>
        </x:is>
      </x:c>
      <x:c r="K7" s="39" t="n">
        <x:f>COUNTIF('用户功能验收清单'!$M$7:$M$54,J7)</x:f>
        <x:v>0</x:v>
      </x:c>
    </x:row>
    <x:row r="8">
      <x:c r="A8" s="229" t="n"/>
      <x:c r="B8" s="230" t="n"/>
      <x:c r="C8" s="230" t="n"/>
      <x:c r="D8" s="230" t="n"/>
      <x:c r="E8" s="230" t="n"/>
      <x:c r="F8" s="230" t="n"/>
      <x:c r="G8" s="230" t="n"/>
      <x:c r="H8" s="231" t="n"/>
    </x:row>
    <x:row r="10" ht="32" customHeight="1">
      <x:c r="A10" s="216" t="inlineStr">
        <x:is>
          <x:t xml:space="preserve">如何使用这份清单</x:t>
        </x:is>
      </x:c>
      <x:c r="B10" s="213" t="n"/>
      <x:c r="C10" s="213" t="n"/>
      <x:c r="D10" s="213" t="n"/>
      <x:c r="E10" s="213" t="n"/>
      <x:c r="F10" s="213" t="n"/>
      <x:c r="G10" s="213" t="n"/>
      <x:c r="H10" s="214" t="n"/>
      <x:c r="J10" s="252" t="str">
        <x:v>模块</x:v>
      </x:c>
      <x:c r="K10" s="252" t="str">
        <x:v>场景数</x:v>
      </x:c>
    </x:row>
    <x:row r="11" ht="32" customHeight="1">
      <x:c r="A11" s="39" t="str">
        <x:v>1. 先按教师脚本走 90 秒规划段，再继续 8—12 分钟执行链；主表“必演”是核心核对点，其余异常分支可用同构建 Fixture/录屏补证。</x:v>
      </x:c>
      <x:c r="B11" s="217" t="n"/>
      <x:c r="C11" s="217" t="n"/>
      <x:c r="D11" s="217" t="n"/>
      <x:c r="E11" s="217" t="n"/>
      <x:c r="F11" s="217" t="n"/>
      <x:c r="G11" s="217" t="n"/>
      <x:c r="H11" s="218" t="n"/>
      <x:c r="J11" s="253" t="str">
        <x:v>教师主链</x:v>
      </x:c>
      <x:c r="K11" s="253" t="n">
        <x:f>COUNTIF('用户功能验收清单'!$B$7:$B$54,J11)</x:f>
        <x:v>1</x:v>
      </x:c>
    </x:row>
    <x:row r="12" ht="32" customHeight="1">
      <x:c r="A12" s="39" t="str">
        <x:v>2. 每条先执行“用户操作步骤”，再核对“应该看到的结果”和“通过标准”；三者缺一不可。</x:v>
      </x:c>
      <x:c r="B12" s="217" t="n"/>
      <x:c r="C12" s="217" t="n"/>
      <x:c r="D12" s="217" t="n"/>
      <x:c r="E12" s="217" t="n"/>
      <x:c r="F12" s="217" t="n"/>
      <x:c r="G12" s="217" t="n"/>
      <x:c r="H12" s="218" t="n"/>
      <x:c r="J12" s="253" t="str">
        <x:v>LLM需求对话</x:v>
      </x:c>
      <x:c r="K12" s="253" t="n">
        <x:f>COUNTIF('用户功能验收清单'!$B$7:$B$54,J12)</x:f>
        <x:v>6</x:v>
      </x:c>
    </x:row>
    <x:row r="13" ht="32" customHeight="1">
      <x:c r="A13" s="39" t="str">
        <x:v>3. 验收状态只能从下拉选未执行、通过、失败、阻塞、不适用；填日期并在备注写复现步骤/缺陷号。</x:v>
      </x:c>
      <x:c r="B13" s="217" t="n"/>
      <x:c r="C13" s="217" t="n"/>
      <x:c r="D13" s="217" t="n"/>
      <x:c r="E13" s="217" t="n"/>
      <x:c r="F13" s="217" t="n"/>
      <x:c r="G13" s="217" t="n"/>
      <x:c r="H13" s="218" t="n"/>
      <x:c r="J13" s="253" t="str">
        <x:v>关怀确认</x:v>
      </x:c>
      <x:c r="K13" s="253" t="n">
        <x:f>COUNTIF('用户功能验收清单'!$B$7:$B$54,J13)</x:f>
        <x:v>5</x:v>
      </x:c>
    </x:row>
    <x:row r="14" ht="32" customHeight="1">
      <x:c r="A14" s="39" t="str">
        <x:v>4. 证据至少回答谁、何时、做了什么、看到了什么、哪个版本；技术日志只作追溯，不能替代页面操作。</x:v>
      </x:c>
      <x:c r="B14" s="217" t="n"/>
      <x:c r="C14" s="217" t="n"/>
      <x:c r="D14" s="217" t="n"/>
      <x:c r="E14" s="217" t="n"/>
      <x:c r="F14" s="217" t="n"/>
      <x:c r="G14" s="217" t="n"/>
      <x:c r="H14" s="218" t="n"/>
      <x:c r="J14" s="253" t="str">
        <x:v>候选与公平</x:v>
      </x:c>
      <x:c r="K14" s="253" t="n">
        <x:f>COUNTIF('用户功能验收清单'!$B$7:$B$54,J14)</x:f>
        <x:v>8</x:v>
      </x:c>
    </x:row>
    <x:row r="15" ht="32" customHeight="1">
      <x:c r="A15" s="39" t="str">
        <x:v>5. LLM/Provider/权限/存储失败时重点验收降级；替代演示不能把原公网或真实环境场景改写成通过。</x:v>
      </x:c>
      <x:c r="B15" s="217" t="n"/>
      <x:c r="C15" s="217" t="n"/>
      <x:c r="D15" s="217" t="n"/>
      <x:c r="E15" s="217" t="n"/>
      <x:c r="F15" s="217" t="n"/>
      <x:c r="G15" s="217" t="n"/>
      <x:c r="H15" s="218" t="n"/>
      <x:c r="J15" s="253" t="str">
        <x:v>成员与冲突</x:v>
      </x:c>
      <x:c r="K15" s="253" t="n">
        <x:f>COUNTIF('用户功能验收清单'!$B$7:$B$54,J15)</x:f>
        <x:v>4</x:v>
      </x:c>
    </x:row>
    <x:row r="16">
      <x:c r="J16" s="253" t="str">
        <x:v>一次性GPS</x:v>
      </x:c>
      <x:c r="K16" s="253" t="n">
        <x:f>COUNTIF('用户功能验收清单'!$B$7:$B$54,J16)</x:f>
        <x:v>6</x:v>
      </x:c>
    </x:row>
    <x:row r="17" ht="24" customHeight="1">
      <x:c r="A17" s="216" t="str">
        <x:v>四个容易误解的口径（用一句话讲清）</x:v>
      </x:c>
      <x:c r="B17" s="213" t="n"/>
      <x:c r="C17" s="213" t="n"/>
      <x:c r="D17" s="213" t="n"/>
      <x:c r="E17" s="213" t="n"/>
      <x:c r="F17" s="213" t="n"/>
      <x:c r="G17" s="213" t="n"/>
      <x:c r="H17" s="214" t="n"/>
      <x:c r="J17" s="253" t="str">
        <x:v>任务照片</x:v>
      </x:c>
      <x:c r="K17" s="253" t="n">
        <x:f>COUNTIF('用户功能验收清单'!$B$7:$B$54,J17)</x:f>
        <x:v>7</x:v>
      </x:c>
    </x:row>
    <x:row r="18" ht="42" customHeight="1">
      <x:c r="A18" s="20" t="str">
        <x:v>LLM 边界</x:v>
      </x:c>
      <x:c r="B18" s="39" t="str">
        <x:v>LLM 负责把话听懂、提出确认问题、从真实候选中提议和解释；程序负责确认、数字、规则、PASS 与状态。</x:v>
      </x:c>
      <x:c r="C18" s="217" t="n"/>
      <x:c r="D18" s="217" t="n"/>
      <x:c r="E18" s="217" t="n"/>
      <x:c r="F18" s="217" t="n"/>
      <x:c r="G18" s="217" t="n"/>
      <x:c r="H18" s="218" t="n"/>
      <x:c r="J18" s="253" t="str">
        <x:v>执行与重规划</x:v>
      </x:c>
      <x:c r="K18" s="253" t="n">
        <x:f>COUNTIF('用户功能验收清单'!$B$7:$B$54,J18)</x:f>
        <x:v>6</x:v>
      </x:c>
    </x:row>
    <x:row r="19" ht="42" customHeight="1">
      <x:c r="A19" s="20" t="str">
        <x:v>公平评分</x:v>
      </x:c>
      <x:c r="B19" s="39" t="str">
        <x:v>每人 0—100；先让最低分的人尽量不吃亏，再看全组平均、费用、绕路，最后稳定 ID 决胜。</x:v>
      </x:c>
      <x:c r="C19" s="217" t="n"/>
      <x:c r="D19" s="217" t="n"/>
      <x:c r="E19" s="217" t="n"/>
      <x:c r="F19" s="217" t="n"/>
      <x:c r="G19" s="217" t="n"/>
      <x:c r="H19" s="218" t="n"/>
      <x:c r="J19" s="253" t="str">
        <x:v>旅行回忆</x:v>
      </x:c>
      <x:c r="K19" s="253" t="n">
        <x:f>COUNTIF('用户功能验收清单'!$B$7:$B$54,J19)</x:f>
        <x:v>2</x:v>
      </x:c>
    </x:row>
    <x:row r="20" ht="42" customHeight="1">
      <x:c r="A20" s="20" t="str">
        <x:v>GPS 阈值</x:v>
      </x:c>
      <x:c r="B20" s="39" t="str">
        <x:v>只有 accuracy≤100m 且 distance≤max(150m,2×accuracy) 才自动判附近；其余由用户人工确认，且不持续跟踪。</x:v>
      </x:c>
      <x:c r="C20" s="217" t="n"/>
      <x:c r="D20" s="217" t="n"/>
      <x:c r="E20" s="217" t="n"/>
      <x:c r="F20" s="217" t="n"/>
      <x:c r="G20" s="217" t="n"/>
      <x:c r="H20" s="218" t="n"/>
      <x:c r="J20" s="253" t="str">
        <x:v>精简界面</x:v>
      </x:c>
      <x:c r="K20" s="253" t="n">
        <x:f>COUNTIF('用户功能验收清单'!$B$7:$B$54,J20)</x:f>
        <x:v>3</x:v>
      </x:c>
    </x:row>
    <x:row r="21" ht="42" customHeight="1">
      <x:c r="A21" s="20" t="str">
        <x:v>Plan V2 最小扰动</x:v>
      </x:c>
      <x:c r="B21" s="39" t="str">
        <x:v>已经完成或锁定的任务完全不动，只调整未执行后缀；候选 V2 未接受前仍执行当前版本。</x:v>
      </x:c>
      <x:c r="C21" s="217" t="n"/>
      <x:c r="D21" s="217" t="n"/>
      <x:c r="E21" s="217" t="n"/>
      <x:c r="F21" s="217" t="n"/>
      <x:c r="G21" s="217" t="n"/>
      <x:c r="H21" s="218" t="n"/>
      <x:c r="M21" s="257" t="str">
        <x:v>只读公网核对（2026-08-26 11:55 +08:00）
Web：https://xingzhi-travel-web.onrender.com/ 与 /workspace 均返回 404
API：https://imagine-mp7v.onrender.com/health 本次 20 秒超时
结论：当前无可验收公网用户主链；本地同构建只能作为降级证据，不能把公网项标通过。</x:v>
      </x:c>
      <x:c r="N21" s="283"/>
      <x:c r="O21" s="283"/>
      <x:c r="P21" s="283"/>
      <x:c r="Q21" s="283"/>
      <x:c r="R21" s="283"/>
      <x:c r="S21" s="283"/>
      <x:c r="T21" s="284"/>
    </x:row>
    <x:row r="22">
      <x:c r="M22" s="285"/>
      <x:c r="N22" s="286"/>
      <x:c r="O22" s="286"/>
      <x:c r="P22" s="286"/>
      <x:c r="Q22" s="286"/>
      <x:c r="R22" s="286"/>
      <x:c r="S22" s="286"/>
      <x:c r="T22" s="287"/>
    </x:row>
    <x:row r="23" ht="24" customHeight="1">
      <x:c r="A23" s="216" t="inlineStr">
        <x:is>
          <x:t xml:space="preserve">验收状态怎么判</x:t>
        </x:is>
      </x:c>
      <x:c r="B23" s="213" t="n"/>
      <x:c r="C23" s="213" t="n"/>
      <x:c r="D23" s="213" t="n"/>
      <x:c r="E23" s="213" t="n"/>
      <x:c r="F23" s="213" t="n"/>
      <x:c r="G23" s="213" t="n"/>
      <x:c r="H23" s="214" t="n"/>
      <x:c r="M23" s="285"/>
      <x:c r="N23" s="286"/>
      <x:c r="O23" s="286"/>
      <x:c r="P23" s="286"/>
      <x:c r="Q23" s="286"/>
      <x:c r="R23" s="286"/>
      <x:c r="S23" s="286"/>
      <x:c r="T23" s="287"/>
    </x:row>
    <x:row r="24" ht="32" customHeight="1">
      <x:c r="A24" s="107" t="inlineStr">
        <x:is>
          <x:t xml:space="preserve">未执行</x:t>
        </x:is>
      </x:c>
      <x:c r="B24" s="39" t="inlineStr">
        <x:is>
          <x:t xml:space="preserve">还没有按本行步骤实际走过；这也是本工作簿的默认状态。</x:t>
        </x:is>
      </x:c>
      <x:c r="C24" s="217" t="n"/>
      <x:c r="D24" s="217" t="n"/>
      <x:c r="E24" s="217" t="n"/>
      <x:c r="F24" s="217" t="n"/>
      <x:c r="G24" s="217" t="n"/>
      <x:c r="H24" s="218" t="n"/>
      <x:c r="M24" s="285"/>
      <x:c r="N24" s="286"/>
      <x:c r="O24" s="286"/>
      <x:c r="P24" s="286"/>
      <x:c r="Q24" s="286"/>
      <x:c r="R24" s="286"/>
      <x:c r="S24" s="286"/>
      <x:c r="T24" s="287"/>
    </x:row>
    <x:row r="25" ht="32" customHeight="1">
      <x:c r="A25" s="107" t="inlineStr">
        <x:is>
          <x:t xml:space="preserve">通过</x:t>
        </x:is>
      </x:c>
      <x:c r="B25" s="39" t="inlineStr">
        <x:is>
          <x:t xml:space="preserve">所有通过标准均满足，证据完整且可复现。</x:t>
        </x:is>
      </x:c>
      <x:c r="C25" s="217" t="n"/>
      <x:c r="D25" s="217" t="n"/>
      <x:c r="E25" s="217" t="n"/>
      <x:c r="F25" s="217" t="n"/>
      <x:c r="G25" s="217" t="n"/>
      <x:c r="H25" s="218" t="n"/>
      <x:c r="M25" s="288"/>
      <x:c r="N25" s="289"/>
      <x:c r="O25" s="289"/>
      <x:c r="P25" s="289"/>
      <x:c r="Q25" s="289"/>
      <x:c r="R25" s="289"/>
      <x:c r="S25" s="289"/>
      <x:c r="T25" s="290"/>
    </x:row>
    <x:row r="26" ht="32" customHeight="1">
      <x:c r="A26" s="107" t="inlineStr">
        <x:is>
          <x:t xml:space="preserve">失败</x:t>
        </x:is>
      </x:c>
      <x:c r="B26" s="39" t="inlineStr">
        <x:is>
          <x:t xml:space="preserve">已执行，但至少一项可观察标准不满足。</x:t>
        </x:is>
      </x:c>
      <x:c r="C26" s="217" t="n"/>
      <x:c r="D26" s="217" t="n"/>
      <x:c r="E26" s="217" t="n"/>
      <x:c r="F26" s="217" t="n"/>
      <x:c r="G26" s="217" t="n"/>
      <x:c r="H26" s="218" t="n"/>
      <x:c r="M26" s="285"/>
      <x:c r="N26" s="286"/>
      <x:c r="O26" s="286"/>
      <x:c r="P26" s="286"/>
      <x:c r="Q26" s="286"/>
      <x:c r="R26" s="286"/>
      <x:c r="S26" s="286"/>
      <x:c r="T26" s="287"/>
    </x:row>
    <x:row r="27" ht="32" customHeight="1">
      <x:c r="A27" s="107" t="inlineStr">
        <x:is>
          <x:t xml:space="preserve">阻塞</x:t>
        </x:is>
      </x:c>
      <x:c r="B27" s="39" t="inlineStr">
        <x:is>
          <x:t xml:space="preserve">因公网、权限、数据、环境或前置能力无法执行；须记录阻塞原因。</x:t>
        </x:is>
      </x:c>
      <x:c r="C27" s="217" t="n"/>
      <x:c r="D27" s="217" t="n"/>
      <x:c r="E27" s="217" t="n"/>
      <x:c r="F27" s="217" t="n"/>
      <x:c r="G27" s="217" t="n"/>
      <x:c r="H27" s="218" t="n"/>
      <x:c r="M27" s="288"/>
      <x:c r="N27" s="289"/>
      <x:c r="O27" s="289"/>
      <x:c r="P27" s="289"/>
      <x:c r="Q27" s="289"/>
      <x:c r="R27" s="289"/>
      <x:c r="S27" s="289"/>
      <x:c r="T27" s="290"/>
    </x:row>
    <x:row r="28" ht="32" customHeight="1">
      <x:c r="A28" s="107" t="inlineStr">
        <x:is>
          <x:t xml:space="preserve">不适用</x:t>
        </x:is>
      </x:c>
      <x:c r="B28" s="39" t="inlineStr">
        <x:is>
          <x:t xml:space="preserve">仅在 PO/教师明确批准本条不适用于本次范围时使用，并写明依据。</x:t>
        </x:is>
      </x:c>
      <x:c r="C28" s="217" t="n"/>
      <x:c r="D28" s="217" t="n"/>
      <x:c r="E28" s="217" t="n"/>
      <x:c r="F28" s="217" t="n"/>
      <x:c r="G28" s="217" t="n"/>
      <x:c r="H28" s="218" t="n"/>
    </x:row>
    <x:row r="30" ht="24" customHeight="1">
      <x:c r="A30" s="216" t="inlineStr">
        <x:is>
          <x:t xml:space="preserve">明确不纳入 Sprint 2</x:t>
        </x:is>
      </x:c>
      <x:c r="B30" s="213" t="n"/>
      <x:c r="C30" s="213" t="n"/>
      <x:c r="D30" s="213" t="n"/>
      <x:c r="E30" s="213" t="n"/>
      <x:c r="F30" s="213" t="n"/>
      <x:c r="G30" s="213" t="n"/>
      <x:c r="H30" s="214" t="n"/>
    </x:row>
    <x:row r="31" ht="28" customHeight="1">
      <x:c r="A31" s="39" t="str">
        <x:v>• 均衡/省钱双方案、美团旅行 Skill、成员通过链接独立加入；</x:v>
      </x:c>
      <x:c r="B31" s="217" t="n"/>
      <x:c r="C31" s="217" t="n"/>
      <x:c r="D31" s="217" t="n"/>
      <x:c r="E31" s="217" t="n"/>
      <x:c r="F31" s="217" t="n"/>
      <x:c r="G31" s="217" t="n"/>
      <x:c r="H31" s="218" t="n"/>
    </x:row>
    <x:row r="32" ht="28" customHeight="1">
      <x:c r="A32" s="39" t="str">
        <x:v>• 持续/后台 GPS、防作弊定位；</x:v>
      </x:c>
      <x:c r="B32" s="217" t="n"/>
      <x:c r="C32" s="217" t="n"/>
      <x:c r="D32" s="217" t="n"/>
      <x:c r="E32" s="217" t="n"/>
      <x:c r="F32" s="217" t="n"/>
      <x:c r="G32" s="217" t="n"/>
      <x:c r="H32" s="218" t="n"/>
    </x:row>
    <x:row r="33" ht="28" customHeight="1">
      <x:c r="A33" s="39" t="str">
        <x:v>• 视频剪辑/配乐、AI 识图、身份识别、公开社区分享；</x:v>
      </x:c>
      <x:c r="B33" s="217" t="n"/>
      <x:c r="C33" s="217" t="n"/>
      <x:c r="D33" s="217" t="n"/>
      <x:c r="E33" s="217" t="n"/>
      <x:c r="F33" s="217" t="n"/>
      <x:c r="G33" s="217" t="n"/>
      <x:c r="H33" s="218" t="n"/>
    </x:row>
    <x:row r="34" ht="28" customHeight="1">
      <x:c r="A34" s="39" t="str">
        <x:v>• 自由聊天、实时聊天、多人实时协同编辑或可配置问卷引擎；</x:v>
      </x:c>
      <x:c r="B34" s="217" t="n"/>
      <x:c r="C34" s="217" t="n"/>
      <x:c r="D34" s="217" t="n"/>
      <x:c r="E34" s="217" t="n"/>
      <x:c r="F34" s="217" t="n"/>
      <x:c r="G34" s="217" t="n"/>
      <x:c r="H34" s="218" t="n"/>
    </x:row>
    <x:row r="35" ht="28" customHeight="1">
      <x:c r="A35" s="39" t="str">
        <x:v>• 让 LLM 直接计算费用/公平分、判断 HARD PASS、写 Constraint/PlanVersion/CURRENT/CONFIRMED。</x:v>
      </x:c>
      <x:c r="B35" s="217" t="n"/>
      <x:c r="C35" s="217" t="n"/>
      <x:c r="D35" s="217" t="n"/>
      <x:c r="E35" s="217" t="n"/>
      <x:c r="F35" s="217" t="n"/>
      <x:c r="G35" s="217" t="n"/>
      <x:c r="H35" s="218" t="n"/>
    </x:row>
    <x:row r="37" ht="24" customHeight="1">
      <x:c r="A37" s="216" t="inlineStr">
        <x:is>
          <x:t xml:space="preserve">来源与打印建议</x:t>
        </x:is>
      </x:c>
      <x:c r="B37" s="213" t="n"/>
      <x:c r="C37" s="213" t="n"/>
      <x:c r="D37" s="213" t="n"/>
      <x:c r="E37" s="213" t="n"/>
      <x:c r="F37" s="213" t="n"/>
      <x:c r="G37" s="213" t="n"/>
      <x:c r="H37" s="214" t="n"/>
    </x:row>
    <x:row r="38" ht="30" customHeight="1">
      <x:c r="A38" s="110" t="str">
        <x:v>项目书</x:v>
      </x:c>
      <x:c r="B38" s="53" t="str">
        <x:v>C:/Users/lenovo/Desktop/实训/2026lindashixun12zu/doc/行知旅伴_旅行规划Agent_Scrum项目规划_V2.3.docx</x:v>
      </x:c>
      <x:c r="C38" s="217" t="n"/>
      <x:c r="D38" s="217" t="n"/>
      <x:c r="E38" s="217" t="n"/>
      <x:c r="F38" s="217" t="n"/>
      <x:c r="G38" s="217" t="n"/>
      <x:c r="H38" s="218" t="n"/>
    </x:row>
    <x:row r="39" ht="30" customHeight="1">
      <x:c r="A39" s="110" t="str">
        <x:v>产品 Backlog</x:v>
      </x:c>
      <x:c r="B39" s="53" t="str">
        <x:v>C:/Users/lenovo/Desktop/实训/2026lindashixun12zu/doc/行知旅伴_V2.3_产品待办列表_含负责人.xlsx</x:v>
      </x:c>
      <x:c r="C39" s="217" t="n"/>
      <x:c r="D39" s="217" t="n"/>
      <x:c r="E39" s="217" t="n"/>
      <x:c r="F39" s="217" t="n"/>
      <x:c r="G39" s="217" t="n"/>
      <x:c r="H39" s="218" t="n"/>
    </x:row>
    <x:row r="40" ht="30" customHeight="1">
      <x:c r="A40" s="110" t="str">
        <x:v>Sprint2 修订版</x:v>
      </x:c>
      <x:c r="B40" s="53" t="str">
        <x:v>C:/Users/lenovo/Desktop/实训/outputs/01a03be1-72a4-7842-82c4-19ee6b668f6b/行知旅伴_V2.3_Sprint2待办列表_含负责人_LLM混合架构修订版.xlsx</x:v>
      </x:c>
      <x:c r="C40" s="217" t="n"/>
      <x:c r="D40" s="217" t="n"/>
      <x:c r="E40" s="217" t="n"/>
      <x:c r="F40" s="217" t="n"/>
      <x:c r="G40" s="217" t="n"/>
      <x:c r="H40" s="218" t="n"/>
    </x:row>
    <x:row r="41" ht="30" customHeight="1">
      <x:c r="A41" s="110" t="str">
        <x:v>代码只读核对</x:v>
      </x:c>
      <x:c r="B41" s="53" t="str">
        <x:v>C:/Users/lenovo/Desktop/实训/2026lindashixun12zu（本任务未修改代码）</x:v>
      </x:c>
      <x:c r="C41" s="217" t="n"/>
      <x:c r="D41" s="217" t="n"/>
      <x:c r="E41" s="217" t="n"/>
      <x:c r="F41" s="217" t="n"/>
      <x:c r="G41" s="217" t="n"/>
      <x:c r="H41" s="218" t="n"/>
    </x:row>
    <x:row r="42" ht="30" customHeight="1">
      <x:c r="A42" s="110" t="str">
        <x:v>打印建议</x:v>
      </x:c>
      <x:c r="B42" s="53" t="str">
        <x:v>主表先筛“必演”或按模块；横向、1 页宽、重复第 6 行表头；长文本不要强挤成 1 页高。</x:v>
      </x:c>
      <x:c r="C42" s="217" t="n"/>
      <x:c r="D42" s="217" t="n"/>
      <x:c r="E42" s="217" t="n"/>
      <x:c r="F42" s="217" t="n"/>
      <x:c r="G42" s="217" t="n"/>
      <x:c r="H42" s="218" t="n"/>
    </x:row>
  </x:sheetData>
  <x:mergeCells>
    <x:mergeCell ref="A30:H30"/>
    <x:mergeCell ref="B40:H40"/>
    <x:mergeCell ref="A15:H15"/>
    <x:mergeCell ref="B24:H24"/>
    <x:mergeCell ref="A11:H11"/>
    <x:mergeCell ref="A1:H1"/>
    <x:mergeCell ref="B20:H20"/>
    <x:mergeCell ref="A4:B5"/>
    <x:mergeCell ref="G4:H5"/>
    <x:mergeCell ref="B26:H26"/>
    <x:mergeCell ref="B41:H41"/>
    <x:mergeCell ref="C3:D3"/>
    <x:mergeCell ref="B25:H25"/>
    <x:mergeCell ref="A37:H37"/>
    <x:mergeCell ref="A3:B3"/>
    <x:mergeCell ref="G3:H3"/>
    <x:mergeCell ref="A12:H12"/>
    <x:mergeCell ref="B18:H18"/>
    <x:mergeCell ref="B27:H27"/>
    <x:mergeCell ref="B21:H21"/>
    <x:mergeCell ref="A2:H2"/>
    <x:mergeCell ref="B39:H39"/>
    <x:mergeCell ref="A33:H33"/>
    <x:mergeCell ref="A14:H14"/>
    <x:mergeCell ref="B42:H42"/>
    <x:mergeCell ref="A23:H23"/>
    <x:mergeCell ref="A32:H32"/>
    <x:mergeCell ref="A17:H17"/>
    <x:mergeCell ref="C4:D5"/>
    <x:mergeCell ref="E4:F5"/>
    <x:mergeCell ref="A35:H35"/>
    <x:mergeCell ref="A7:H8"/>
    <x:mergeCell ref="A10:H10"/>
    <x:mergeCell ref="B38:H38"/>
    <x:mergeCell ref="A13:H13"/>
    <x:mergeCell ref="B19:H19"/>
    <x:mergeCell ref="A31:H31"/>
    <x:mergeCell ref="E3:F3"/>
    <x:mergeCell ref="B28:H28"/>
    <x:mergeCell ref="A34:H34"/>
    <x:mergeCell ref="M21:T27"/>
  </x:mergeCells>
  <x:conditionalFormatting sqref="A24:A28">
    <x:cfRule type="containsText" dxfId="0" priority="1" operator="containsText" text="未执行"/>
    <x:cfRule type="containsText" dxfId="1" priority="2" operator="containsText" text="通过"/>
    <x:cfRule type="containsText" dxfId="2" priority="3" operator="containsText" text="失败"/>
    <x:cfRule type="containsText" dxfId="3" priority="4" operator="containsText" text="阻塞"/>
    <x:cfRule type="containsText" dxfId="4" priority="5" operator="containsText" text="不适用"/>
  </x:conditionalFormatting>
  <x:conditionalFormatting sqref="J3:J7">
    <x:cfRule type="containsText" dxfId="0" priority="6" operator="containsText" text="未执行"/>
    <x:cfRule type="containsText" dxfId="1" priority="7" operator="containsText" text="通过"/>
    <x:cfRule type="containsText" dxfId="2" priority="8" operator="containsText" text="失败"/>
    <x:cfRule type="containsText" dxfId="3" priority="9" operator="containsText" text="阻塞"/>
    <x:cfRule type="containsText" dxfId="4" priority="10" operator="containsText" text="不适用"/>
  </x:conditionalFormatting>
  <x:printOptions horizontalCentered="0" verticalCentered="0" gridLines="0" headings="0"/>
  <x:pageMargins left="0.3" right="0.3" top="0.5" bottom="0.5" header="0.2" footer="0.2"/>
  <x:pageSetup paperSize="9" orientation="landscape" fitToWidth="1" fitToHeight="0" blackAndWhite="0" draft="0"/>
  <x:headerFooter>
    <x:oddFooter>&amp;L行知旅伴 V2.3&amp;R第 &amp;P / &amp;N 页</x:oddFooter>
  </x:headerFooter>
  <x:drawing xmlns:r="http://schemas.openxmlformats.org/officeDocument/2006/relationships" r:id="R452dbc04a58b4404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3" ySplit="6" topLeftCell="D7" activePane="bottomRight" state="frozen"/>
      <x:selection pane="bottomRight" activeCell="D7" sqref="D7"/>
    </x:sheetView>
  </x:sheetViews>
  <x:sheetFormatPr baseColWidth="8" defaultRowHeight="15"/>
  <x:cols>
    <x:col min="1" max="1" width="13" hidden="0" customWidth="1"/>
    <x:col min="2" max="2" width="16" hidden="0" customWidth="1"/>
    <x:col min="3" max="3" width="11" hidden="0" customWidth="1"/>
    <x:col min="4" max="4" width="29" hidden="0" customWidth="1"/>
    <x:col min="5" max="5" width="27" hidden="0" customWidth="1"/>
    <x:col min="6" max="6" width="38" hidden="0" customWidth="1"/>
    <x:col min="7" max="7" width="39" hidden="0" customWidth="1"/>
    <x:col min="8" max="8" width="36" hidden="0" customWidth="1"/>
    <x:col min="9" max="9" width="29" hidden="0" customWidth="1"/>
    <x:col min="10" max="10" width="31" hidden="0" customWidth="1"/>
    <x:col min="11" max="11" width="23" hidden="0" customWidth="1"/>
    <x:col min="12" max="12" width="11" hidden="0" customWidth="1"/>
    <x:col min="13" max="13" width="11" hidden="0" customWidth="1"/>
    <x:col min="14" max="14" width="13" hidden="0" customWidth="1"/>
    <x:col min="15" max="15" width="32" hidden="0" customWidth="1"/>
  </x:cols>
  <x:sheetData>
    <x:row r="1" ht="34" customHeight="1">
      <x:c r="A1" s="4" t="str">
        <x:v>行知旅伴 V2.3 · Sprint 2 用户功能验收清单（教师展示版 · LLM 混合架构修订）</x:v>
      </x:c>
    </x:row>
    <x:row r="2" ht="28" customHeight="1">
      <x:c r="A2" s="212" t="str">
        <x:v>默认状态全部为“未执行”。教师只按用户操作与可见结果判定；LLM 输出、代码、接口和单测仅作追溯，不能直接算用户功能通过。</x:v>
      </x:c>
      <x:c r="B2" s="213" t="n"/>
      <x:c r="C2" s="213" t="n"/>
      <x:c r="D2" s="213" t="n"/>
      <x:c r="E2" s="213" t="n"/>
      <x:c r="F2" s="213" t="n"/>
      <x:c r="G2" s="213" t="n"/>
      <x:c r="H2" s="213" t="n"/>
      <x:c r="I2" s="213" t="n"/>
      <x:c r="J2" s="213" t="n"/>
      <x:c r="K2" s="213" t="n"/>
      <x:c r="L2" s="213" t="n"/>
      <x:c r="M2" s="213" t="n"/>
      <x:c r="N2" s="213" t="n"/>
      <x:c r="O2" s="214" t="n"/>
    </x:row>
    <x:row r="3">
      <x:c r="A3" s="147" t="str">
        <x:v>场景总数</x:v>
      </x:c>
      <x:c r="B3" s="26" t="n">
        <x:f>COUNTA(A7:A54)</x:f>
        <x:v>48</x:v>
      </x:c>
      <x:c r="C3" s="147" t="str">
        <x:v>必演场景</x:v>
      </x:c>
      <x:c r="D3" s="26" t="n">
        <x:f>COUNTIF(C7:C54,"必演")</x:f>
        <x:v>20</x:v>
      </x:c>
      <x:c r="E3" s="147" t="str">
        <x:v>已通过</x:v>
      </x:c>
      <x:c r="F3" s="26" t="n">
        <x:f>COUNTIF(M7:M54,"通过")</x:f>
        <x:v>0</x:v>
      </x:c>
      <x:c r="G3" s="147" t="str">
        <x:v>失败/阻塞</x:v>
      </x:c>
      <x:c r="H3" s="26" t="n">
        <x:f>COUNTIF(M7:M54,"失败")+COUNTIF(M7:M54,"阻塞")</x:f>
        <x:v>0</x:v>
      </x:c>
      <x:c r="I3" s="147" t="str">
        <x:v>执行率</x:v>
      </x:c>
      <x:c r="J3" s="291" t="n">
        <x:f>IF(B3=0,0,1-COUNTIF(M7:M54,"未执行")/B3)</x:f>
        <x:v>0</x:v>
      </x:c>
      <x:c r="K3" s="178" t="str">
        <x:v>打印/筛选：优先筛“必演”，再按模块抽异常；横向、1 页宽、重复第 6 行表头。</x:v>
      </x:c>
      <x:c r="L3" s="241" t="n"/>
      <x:c r="M3" s="241" t="n"/>
      <x:c r="N3" s="241" t="n"/>
      <x:c r="O3" s="242" t="n"/>
    </x:row>
    <x:row r="4" ht="26" customHeight="1">
      <x:c r="A4" s="243" t="str">
        <x:v>状态填写：未执行=未按步骤实测；通过=所有标准+证据满足；失败=已执行但不满足；阻塞=环境/前置无法执行；不适用=须有 PO/教师批准依据。</x:v>
      </x:c>
      <x:c r="B4" s="213" t="n"/>
      <x:c r="C4" s="213" t="n"/>
      <x:c r="D4" s="213" t="n"/>
      <x:c r="E4" s="213" t="n"/>
      <x:c r="F4" s="213" t="n"/>
      <x:c r="G4" s="213" t="n"/>
      <x:c r="H4" s="213" t="n"/>
      <x:c r="I4" s="213" t="n"/>
      <x:c r="J4" s="213" t="n"/>
      <x:c r="K4" s="213" t="n"/>
      <x:c r="L4" s="213" t="n"/>
      <x:c r="M4" s="213" t="n"/>
      <x:c r="N4" s="213" t="n"/>
      <x:c r="O4" s="214" t="n"/>
    </x:row>
    <x:row r="6" ht="32" customHeight="1">
      <x:c r="A6" s="252" t="str">
        <x:v>编号</x:v>
      </x:c>
      <x:c r="B6" s="252" t="str">
        <x:v>模块</x:v>
      </x:c>
      <x:c r="C6" s="252" t="str">
        <x:v>演示优先级</x:v>
      </x:c>
      <x:c r="D6" s="252" t="str">
        <x:v>用户场景/用户目标</x:v>
      </x:c>
      <x:c r="E6" s="252" t="str">
        <x:v>前置条件</x:v>
      </x:c>
      <x:c r="F6" s="252" t="str">
        <x:v>用户操作步骤</x:v>
      </x:c>
      <x:c r="G6" s="252" t="str">
        <x:v>用户应该看到的结果</x:v>
      </x:c>
      <x:c r="H6" s="252" t="str">
        <x:v>通过标准</x:v>
      </x:c>
      <x:c r="I6" s="252" t="str">
        <x:v>老师现场看什么</x:v>
      </x:c>
      <x:c r="J6" s="252" t="str">
        <x:v>证据要求（截图/录屏/测试记录）</x:v>
      </x:c>
      <x:c r="K6" s="252" t="str">
        <x:v>关联 PBI/AC</x:v>
      </x:c>
      <x:c r="L6" s="252" t="str">
        <x:v>执行人</x:v>
      </x:c>
      <x:c r="M6" s="252" t="str">
        <x:v>验收状态</x:v>
      </x:c>
      <x:c r="N6" s="252" t="str">
        <x:v>验收日期</x:v>
      </x:c>
      <x:c r="O6" s="252" t="str">
        <x:v>备注/问题</x:v>
      </x:c>
    </x:row>
    <x:row r="7" ht="88" customHeight="1">
      <x:c r="A7" s="292" t="str">
        <x:v>UAT-S2-001</x:v>
      </x:c>
      <x:c r="B7" s="292" t="str">
        <x:v>教师主链</x:v>
      </x:c>
      <x:c r="C7" s="292" t="str">
        <x:v>必演</x:v>
      </x:c>
      <x:c r="D7" s="293" t="str">
        <x:v>完成“90 秒对话规划 + 现实执行闭环”。</x:v>
      </x:c>
      <x:c r="E7" s="293" t="str">
        <x:v>预置三人案例、Provider 候选、当前任务与可用演示构建。</x:v>
      </x:c>
      <x:c r="F7" s="293" t="str">
        <x:v>输入自然语言→按预设问题确认旅行/关怀→查看 Provider 候选与 LLM 提议→查看公平唯一方案并确认 V1→一次定位→照片→迟到或疲劳→候选 V2→Diff→接受或拒绝→回忆。</x:v>
      </x:c>
      <x:c r="G7" s="293" t="str">
        <x:v>全程只有一条主路径；规划前 90 秒完成；后续每一步都有明确结果、来源与当前版本。</x:v>
      </x:c>
      <x:c r="H7" s="293" t="str">
        <x:v>规划段≤90 秒；完整链 8—12 分钟；最终只有一个 CURRENT；任何一步无真实用户可见结果均不通过。</x:v>
      </x:c>
      <x:c r="I7" s="293" t="str">
        <x:v>看用户能否连续操作，而不是看接口、日志或代码。</x:v>
      </x:c>
      <x:c r="J7" s="293" t="str">
        <x:v>全程计时录屏+关键节点截图+UAT 状态记录。</x:v>
      </x:c>
      <x:c r="K7" s="292" t="str">
        <x:v>PBI-07-A / PBI-08-A / PBI-09-A / PBI-10-A / PBI-11-A / PBI-11-B / PBI-12-A / PBI-13-S2</x:v>
      </x:c>
      <x:c r="L7" s="292" t="str">
        <x:v>全员</x:v>
      </x:c>
      <x:c r="M7" s="292" t="str">
        <x:v>未执行</x:v>
      </x:c>
      <x:c r="N7" s="294"/>
      <x:c r="O7" s="293" t="str">
        <x:v>公网不可用时可用同构建本地演示，但公网项仍如实记阻塞。</x:v>
      </x:c>
    </x:row>
    <x:row r="8" ht="88" customHeight="1">
      <x:c r="A8" s="292" t="str">
        <x:v>UAT-S2-002</x:v>
      </x:c>
      <x:c r="B8" s="292" t="str">
        <x:v>LLM需求对话</x:v>
      </x:c>
      <x:c r="C8" s="292" t="str">
        <x:v>必演</x:v>
      </x:c>
      <x:c r="D8" s="293" t="str">
        <x:v>用一句自然语言告诉 Agent 完整旅行需求。</x:v>
      </x:c>
      <x:c r="E8" s="293" t="str">
        <x:v>准备含城市、日期、起止时间、预算、兴趣、必去/拒绝和返程要求的输入。</x:v>
      </x:c>
      <x:c r="F8" s="293" t="str">
        <x:v>在唯一对话输入框粘贴并点击“整理需求”。</x:v>
      </x:c>
      <x:c r="G8" s="293" t="str">
        <x:v>出现结构化草稿；字段值可逐项核对；模型没有直接给行程或改变正式状态。</x:v>
      </x:c>
      <x:c r="H8" s="293" t="str">
        <x:v>城市/日期/时间/预算等与原文一致；字段证据可定位；未点击确认前不能开始规划。</x:v>
      </x:c>
      <x:c r="I8" s="293" t="str">
        <x:v>看自然语言是否真的变成可编辑确认卡，而非只返回一段聊天话。</x:v>
      </x:c>
      <x:c r="J8" s="293" t="str">
        <x:v>原文+草稿+字段证据截图；调用 Trace 脱敏记录。</x:v>
      </x:c>
      <x:c r="K8" s="292" t="str">
        <x:v>PBI-07-A / AC-07-A</x:v>
      </x:c>
      <x:c r="L8" s="292" t="str">
        <x:v>陈梓元</x:v>
      </x:c>
      <x:c r="M8" s="292" t="str">
        <x:v>未执行</x:v>
      </x:c>
      <x:c r="N8" s="294"/>
      <x:c r="O8" s="293" t="str">
        <x:v>当前无运行时 LLM；默认未执行。</x:v>
      </x:c>
    </x:row>
    <x:row r="9" ht="88" customHeight="1">
      <x:c r="A9" s="292" t="str">
        <x:v>UAT-S2-003</x:v>
      </x:c>
      <x:c r="B9" s="292" t="str">
        <x:v>LLM需求对话</x:v>
      </x:c>
      <x:c r="C9" s="292" t="str">
        <x:v>必演</x:v>
      </x:c>
      <x:c r="D9" s="293" t="str">
        <x:v>缺少必要信息时由预设问题逐项引导补齐。</x:v>
      </x:c>
      <x:c r="E9" s="293" t="str">
        <x:v>输入缺少日期、预算或返程时间的需求。</x:v>
      </x:c>
      <x:c r="F9" s="293" t="str">
        <x:v>提交后按当前显示的问题选择/输入答案，直到确认卡完整。</x:v>
      </x:c>
      <x:c r="G9" s="293" t="str">
        <x:v>每次只突出一个必要问题并提供固定选项；已答内容保留；主操作随完整度变化。</x:v>
      </x:c>
      <x:c r="H9" s="293" t="str">
        <x:v>missingFields 与问题一一对应；不重复询问已确认字段；未补齐时“开始规划”不可用。</x:v>
      </x:c>
      <x:c r="I9" s="293" t="str">
        <x:v>看是否简洁、有方向，而不是一次铺满几十个输入框。</x:v>
      </x:c>
      <x:c r="J9" s="293" t="str">
        <x:v>缺项前后录屏；问题 key/答案/确认卡截图。</x:v>
      </x:c>
      <x:c r="K9" s="292" t="str">
        <x:v>PBI-07-A / AC-07-A</x:v>
      </x:c>
      <x:c r="L9" s="292" t="str">
        <x:v>陈梓元</x:v>
      </x:c>
      <x:c r="M9" s="292" t="str">
        <x:v>未执行</x:v>
      </x:c>
      <x:c r="N9" s="294"/>
      <x:c r="O9" s="293" t="str">
        <x:v>预设问题不额外调用 LLM。</x:v>
      </x:c>
    </x:row>
    <x:row r="10" ht="88" customHeight="1">
      <x:c r="A10" s="292" t="str">
        <x:v>UAT-S2-004</x:v>
      </x:c>
      <x:c r="B10" s="292" t="str">
        <x:v>LLM需求对话</x:v>
      </x:c>
      <x:c r="C10" s="292" t="str">
        <x:v>可选</x:v>
      </x:c>
      <x:c r="D10" s="293" t="str">
        <x:v>歧义信息不被模型擅自猜测。</x:v>
      </x:c>
      <x:c r="E10" s="293" t="str">
        <x:v>输入“下周六晚上回”或同名城市/地点等歧义。</x:v>
      </x:c>
      <x:c r="F10" s="293" t="str">
        <x:v>提交并查看 Agent 的候选解释，再选择一个明确答案。</x:v>
      </x:c>
      <x:c r="G10" s="293" t="str">
        <x:v>页面列出歧义字段、2—3 个可选值或要求手填；选择后才写入确认卡。</x:v>
      </x:c>
      <x:c r="H10" s="293" t="str">
        <x:v>未选择时字段保持待确认；模型不得把任一候选直接当已确认事实。</x:v>
      </x:c>
      <x:c r="I10" s="293" t="str">
        <x:v>看系统会不会“自作主张”。</x:v>
      </x:c>
      <x:c r="J10" s="293" t="str">
        <x:v>歧义截图+选择前后草稿对比。</x:v>
      </x:c>
      <x:c r="K10" s="292" t="str">
        <x:v>PBI-07-A / AC-07-A</x:v>
      </x:c>
      <x:c r="L10" s="292" t="str">
        <x:v>陈梓元</x:v>
      </x:c>
      <x:c r="M10" s="292" t="str">
        <x:v>未执行</x:v>
      </x:c>
      <x:c r="N10" s="294"/>
      <x:c r="O10" s="293" t="str">
        <x:v>相对日期必须基于服务端 referenceDate。</x:v>
      </x:c>
    </x:row>
    <x:row r="11" ht="88" customHeight="1">
      <x:c r="A11" s="292" t="str">
        <x:v>UAT-S2-005</x:v>
      </x:c>
      <x:c r="B11" s="292" t="str">
        <x:v>LLM需求对话</x:v>
      </x:c>
      <x:c r="C11" s="292" t="str">
        <x:v>可选</x:v>
      </x:c>
      <x:c r="D11" s="293" t="str">
        <x:v>互相冲突的旅行条件被指出并阻止规划。</x:v>
      </x:c>
      <x:c r="E11" s="293" t="str">
        <x:v>输入结束时间早于开始时间、必去与拒绝同一地点或预算非法。</x:v>
      </x:c>
      <x:c r="F11" s="293" t="str">
        <x:v>提交并尝试开始规划。</x:v>
      </x:c>
      <x:c r="G11" s="293" t="str">
        <x:v>页面逐条显示字段/规则/原因与可修改项；开始规划被阻止。</x:v>
      </x:c>
      <x:c r="H11" s="293" t="str">
        <x:v>所有冲突未解决前 Provider/规划器均未调用；修正后阻断消失。</x:v>
      </x:c>
      <x:c r="I11" s="293" t="str">
        <x:v>看冲突是不是具体、能改，而不是笼统“出错”。</x:v>
      </x:c>
      <x:c r="J11" s="293" t="str">
        <x:v>冲突截图+阻断记录+修正后截图。</x:v>
      </x:c>
      <x:c r="K11" s="292" t="str">
        <x:v>PBI-07-A / AC-07-A</x:v>
      </x:c>
      <x:c r="L11" s="292" t="str">
        <x:v>陈梓元</x:v>
      </x:c>
      <x:c r="M11" s="292" t="str">
        <x:v>未执行</x:v>
      </x:c>
      <x:c r="N11" s="294"/>
      <x:c r="O11" s="293" t="str">
        <x:v>确定性程序裁决。</x:v>
      </x:c>
    </x:row>
    <x:row r="12" ht="88" customHeight="1">
      <x:c r="A12" s="292" t="str">
        <x:v>UAT-S2-006</x:v>
      </x:c>
      <x:c r="B12" s="292" t="str">
        <x:v>LLM需求对话</x:v>
      </x:c>
      <x:c r="C12" s="292" t="str">
        <x:v>必演</x:v>
      </x:c>
      <x:c r="D12" s="293" t="str">
        <x:v>LLM 返回非 JSON 或 Schema 错误时仍能继续。</x:v>
      </x:c>
      <x:c r="E12" s="293" t="str">
        <x:v>让 Fake/故障开关返回 Markdown、截断 JSON 或 extra 字段。</x:v>
      </x:c>
      <x:c r="F12" s="293" t="str">
        <x:v>提交需求并等待降级。</x:v>
      </x:c>
      <x:c r="G12" s="293" t="str">
        <x:v>出现“AI 辅助暂不可用，已切换结构化流程”；原始输入保留并预填可识别字段。</x:v>
      </x:c>
      <x:c r="H12" s="293" t="str">
        <x:v>不发起第三次修复调用；不保存正式 Trip/Plan；用户可继续补齐并确认。</x:v>
      </x:c>
      <x:c r="I12" s="293" t="str">
        <x:v>看错误是不是可见、数据有没有丢。</x:v>
      </x:c>
      <x:c r="J12" s="293" t="str">
        <x:v>故障录屏+降级提示+保留原文截图。</x:v>
      </x:c>
      <x:c r="K12" s="292" t="str">
        <x:v>PBI-07-A / AC-07-A</x:v>
      </x:c>
      <x:c r="L12" s="292" t="str">
        <x:v>陈梓元</x:v>
      </x:c>
      <x:c r="M12" s="292" t="str">
        <x:v>未执行</x:v>
      </x:c>
      <x:c r="N12" s="294"/>
      <x:c r="O12" s="293" t="str">
        <x:v>格式错误不能静默吞掉。</x:v>
      </x:c>
    </x:row>
    <x:row r="13" ht="88" customHeight="1">
      <x:c r="A13" s="292" t="str">
        <x:v>UAT-S2-007</x:v>
      </x:c>
      <x:c r="B13" s="292" t="str">
        <x:v>LLM需求对话</x:v>
      </x:c>
      <x:c r="C13" s="292" t="str">
        <x:v>可选</x:v>
      </x:c>
      <x:c r="D13" s="293" t="str">
        <x:v>LLM 超时、未启用或 Key 缺失时应用可用。</x:v>
      </x:c>
      <x:c r="E13" s="293" t="str">
        <x:v>关闭 LLM 或注入超时/429/5xx。</x:v>
      </x:c>
      <x:c r="F13" s="293" t="str">
        <x:v>提交需求。</x:v>
      </x:c>
      <x:c r="G13" s="293" t="str">
        <x:v>固定时间内结束加载；进入规则解析+结构化表单；显示降级原因但不暴露供应商错误或 Key。</x:v>
      </x:c>
      <x:c r="H13" s="293" t="str">
        <x:v>应用不崩溃；用户仍能完成确认；日志只含 traceId/阶段/结果码。</x:v>
      </x:c>
      <x:c r="I13" s="293" t="str">
        <x:v>看加载是否会一直转圈。</x:v>
      </x:c>
      <x:c r="J13" s="293" t="str">
        <x:v>计时录屏+安全日志摘要。</x:v>
      </x:c>
      <x:c r="K13" s="292" t="str">
        <x:v>PBI-07-A / AC-07-A</x:v>
      </x:c>
      <x:c r="L13" s="292" t="str">
        <x:v>陈梓元</x:v>
      </x:c>
      <x:c r="M13" s="292" t="str">
        <x:v>未执行</x:v>
      </x:c>
      <x:c r="N13" s="294"/>
      <x:c r="O13" s="293" t="str">
        <x:v>默认 LLM_ENABLED=false 也应能启动。</x:v>
      </x:c>
    </x:row>
    <x:row r="14" ht="88" customHeight="1">
      <x:c r="A14" s="292" t="str">
        <x:v>UAT-S2-008</x:v>
      </x:c>
      <x:c r="B14" s="292" t="str">
        <x:v>关怀确认</x:v>
      </x:c>
      <x:c r="C14" s="292" t="str">
        <x:v>必演</x:v>
      </x:c>
      <x:c r="D14" s="293" t="str">
        <x:v>通过固定入口选择普通/亲子/低体力/行动辅助。</x:v>
      </x:c>
      <x:c r="E14" s="293" t="str">
        <x:v>旅行需求草稿已生成。</x:v>
      </x:c>
      <x:c r="F14" s="293" t="str">
        <x:v>在对话中选择一个或多个关怀预设，并打开确认卡。</x:v>
      </x:c>
      <x:c r="G14" s="293" t="str">
        <x:v>四类名称和关键影响用简短中文可见；选择会预填结构化字段。</x:v>
      </x:c>
      <x:c r="H14" s="293" t="str">
        <x:v>选择结果可撤销/修改；预设不会直接把状态变成已确认。</x:v>
      </x:c>
      <x:c r="I14" s="293" t="str">
        <x:v>看关怀选择是否比长表单更易懂。</x:v>
      </x:c>
      <x:c r="J14" s="293" t="str">
        <x:v>四类预设截图+选择前后确认卡。</x:v>
      </x:c>
      <x:c r="K14" s="292" t="str">
        <x:v>PBI-07-A / AC-07-A</x:v>
      </x:c>
      <x:c r="L14" s="292" t="str">
        <x:v>陈梓元</x:v>
      </x:c>
      <x:c r="M14" s="292" t="str">
        <x:v>未执行</x:v>
      </x:c>
      <x:c r="N14" s="294"/>
      <x:c r="O14" s="293" t="str">
        <x:v>关怀确认不增加无必要的 LLM 循环。</x:v>
      </x:c>
    </x:row>
    <x:row r="15" ht="88" customHeight="1">
      <x:c r="A15" s="292" t="str">
        <x:v>UAT-S2-009</x:v>
      </x:c>
      <x:c r="B15" s="292" t="str">
        <x:v>关怀确认</x:v>
      </x:c>
      <x:c r="C15" s="292" t="str">
        <x:v>必演</x:v>
      </x:c>
      <x:c r="D15" s="293" t="str">
        <x:v>口语关怀被理解并用易懂语言复述。</x:v>
      </x:c>
      <x:c r="E15" s="293" t="str">
        <x:v>输入“带老人”“孩子要午睡”“少换乘”“避开台阶”等。</x:v>
      </x:c>
      <x:c r="F15" s="293" t="str">
        <x:v>提交并阅读 Agent 总结，必要时选择确认问题。</x:v>
      </x:c>
      <x:c r="G15" s="293" t="str">
        <x:v>出现对应 presetHint/字段草稿和一句话总结；不明确值继续询问。</x:v>
      </x:c>
      <x:c r="H15" s="293" t="str">
        <x:v>每个识别结果都能对应原话；未知阈值不被模型补成具体数字。</x:v>
      </x:c>
      <x:c r="I15" s="293" t="str">
        <x:v>看模型是否只负责理解，不偷偷改规则。</x:v>
      </x:c>
      <x:c r="J15" s="293" t="str">
        <x:v>原话+总结+字段证据截图。</x:v>
      </x:c>
      <x:c r="K15" s="292" t="str">
        <x:v>PBI-07-A / AC-07-A</x:v>
      </x:c>
      <x:c r="L15" s="292" t="str">
        <x:v>陈梓元</x:v>
      </x:c>
      <x:c r="M15" s="292" t="str">
        <x:v>未执行</x:v>
      </x:c>
      <x:c r="N15" s="294"/>
      <x:c r="O15" s="293" t="str">
        <x:v>模型输出仍是草稿。</x:v>
      </x:c>
    </x:row>
    <x:row r="16" ht="88" customHeight="1">
      <x:c r="A16" s="292" t="str">
        <x:v>UAT-S2-010</x:v>
      </x:c>
      <x:c r="B16" s="292" t="str">
        <x:v>关怀确认</x:v>
      </x:c>
      <x:c r="C16" s="292" t="str">
        <x:v>可选</x:v>
      </x:c>
      <x:c r="D16" s="293" t="str">
        <x:v>关键关怀字段可见、可编辑、可判定。</x:v>
      </x:c>
      <x:c r="E16" s="293" t="str">
        <x:v>已选亲子/低体力/行动辅助。</x:v>
      </x:c>
      <x:c r="F16" s="293" t="str">
        <x:v>查看并编辑步行上限、换乘上限、休息间隔、午休窗、返程时间、避开台阶。</x:v>
      </x:c>
      <x:c r="G16" s="293" t="str">
        <x:v>所有关键字段有标签、单位和当前值；非法值就地提示。</x:v>
      </x:c>
      <x:c r="H16" s="293" t="str">
        <x:v>空值/越界值不能确认；未知项保持待确认，不显示“已满足”。</x:v>
      </x:c>
      <x:c r="I16" s="293" t="str">
        <x:v>看阈值有没有被藏在模型文字里。</x:v>
      </x:c>
      <x:c r="J16" s="293" t="str">
        <x:v>字段截图+非法值提示。</x:v>
      </x:c>
      <x:c r="K16" s="292" t="str">
        <x:v>PBI-07-A / AC-07-A</x:v>
      </x:c>
      <x:c r="L16" s="292" t="str">
        <x:v>陈梓元</x:v>
      </x:c>
      <x:c r="M16" s="292" t="str">
        <x:v>未执行</x:v>
      </x:c>
      <x:c r="N16" s="294"/>
      <x:c r="O16" s="293" t="str">
        <x:v>显式字段优先。</x:v>
      </x:c>
    </x:row>
    <x:row r="17" ht="88" customHeight="1">
      <x:c r="A17" s="292" t="str">
        <x:v>UAT-S2-011</x:v>
      </x:c>
      <x:c r="B17" s="292" t="str">
        <x:v>关怀确认</x:v>
      </x:c>
      <x:c r="C17" s="292" t="str">
        <x:v>可选</x:v>
      </x:c>
      <x:c r="D17" s="293" t="str">
        <x:v>确认后修改关键字段会退回待确认。</x:v>
      </x:c>
      <x:c r="E17" s="293" t="str">
        <x:v>AssistanceProfile 已确认。</x:v>
      </x:c>
      <x:c r="F17" s="293" t="str">
        <x:v>修改步行/换乘/午休/返程或避台阶，再尝试规划。</x:v>
      </x:c>
      <x:c r="G17" s="293" t="str">
        <x:v>状态回到 DRAFT/待确认；开始规划不可用；重新确认后恢复。</x:v>
      </x:c>
      <x:c r="H17" s="293" t="str">
        <x:v>任何关键字段语义变化都清空 confirmedAt；旧 Constraint 不得继续使用。</x:v>
      </x:c>
      <x:c r="I17" s="293" t="str">
        <x:v>看系统会不会沿用过期确认。</x:v>
      </x:c>
      <x:c r="J17" s="293" t="str">
        <x:v>修改前后状态截图+阻断录屏。</x:v>
      </x:c>
      <x:c r="K17" s="292" t="str">
        <x:v>PBI-07-A / AC-07-A</x:v>
      </x:c>
      <x:c r="L17" s="292" t="str">
        <x:v>陈梓元</x:v>
      </x:c>
      <x:c r="M17" s="292" t="str">
        <x:v>未执行</x:v>
      </x:c>
      <x:c r="N17" s="294"/>
      <x:c r="O17" s="293" t="str">
        <x:v>状态由程序维护。</x:v>
      </x:c>
    </x:row>
    <x:row r="18" ht="88" customHeight="1">
      <x:c r="A18" s="292" t="str">
        <x:v>UAT-S2-012</x:v>
      </x:c>
      <x:c r="B18" s="292" t="str">
        <x:v>关怀确认</x:v>
      </x:c>
      <x:c r="C18" s="292" t="str">
        <x:v>必演</x:v>
      </x:c>
      <x:c r="D18" s="293" t="str">
        <x:v>明确确认后由程序编译确定性 Constraint。</x:v>
      </x:c>
      <x:c r="E18" s="293" t="str">
        <x:v>Profile 完整且用户点击确认。</x:v>
      </x:c>
      <x:c r="F18" s="293" t="str">
        <x:v>查看关怀确认结果并开始规划。</x:v>
      </x:c>
      <x:c r="G18" s="293" t="str">
        <x:v>页面显示已确认及可读约束摘要；每条硬约束来源可追溯。</x:v>
      </x:c>
      <x:c r="H18" s="293" t="str">
        <x:v>同一 Profile 重复编译结果相同；LLM 不能改变 hardness、scope、阈值或确认状态。</x:v>
      </x:c>
      <x:c r="I18" s="293" t="str">
        <x:v>看“用户确认”与“模型理解”是否被清楚分开。</x:v>
      </x:c>
      <x:c r="J18" s="293" t="str">
        <x:v>确认录屏+约束摘要+canonical 比较记录。</x:v>
      </x:c>
      <x:c r="K18" s="292" t="str">
        <x:v>PBI-07-A / AC-07-A</x:v>
      </x:c>
      <x:c r="L18" s="292" t="str">
        <x:v>陈梓元</x:v>
      </x:c>
      <x:c r="M18" s="292" t="str">
        <x:v>未执行</x:v>
      </x:c>
      <x:c r="N18" s="294"/>
      <x:c r="O18" s="293" t="str">
        <x:v>非法/未确认字段必须阻止。</x:v>
      </x:c>
    </x:row>
    <x:row r="19" ht="88" customHeight="1">
      <x:c r="A19" s="292" t="str">
        <x:v>UAT-S2-013</x:v>
      </x:c>
      <x:c r="B19" s="292" t="str">
        <x:v>候选与公平</x:v>
      </x:c>
      <x:c r="C19" s="292" t="str">
        <x:v>必演</x:v>
      </x:c>
      <x:c r="D19" s="293" t="str">
        <x:v>规划只使用有来源的真实 Provider 候选。</x:v>
      </x:c>
      <x:c r="E19" s="293" t="str">
        <x:v>Trip/Profile 已确认；Provider 可返回 6—8 个候选。</x:v>
      </x:c>
      <x:c r="F19" s="293" t="str">
        <x:v>点击生成推荐，展开“数据来源”。</x:v>
      </x:c>
      <x:c r="G19" s="293" t="str">
        <x:v>每个候选显示名称、来源、获取时间和事实状态；未知价格/设施标待确认。</x:v>
      </x:c>
      <x:c r="H19" s="293" t="str">
        <x:v>地点/路线/价格/设施均来自服务端 Provider/cache FactRef；模型不得新增事实。</x:v>
      </x:c>
      <x:c r="I19" s="293" t="str">
        <x:v>看来源时间与未知状态，而不是只看地点名字。</x:v>
      </x:c>
      <x:c r="J19" s="293" t="str">
        <x:v>候选列表截图+FactRef/digest 摘要。</x:v>
      </x:c>
      <x:c r="K19" s="292" t="str">
        <x:v>PBI-08-A / AC-08-A</x:v>
      </x:c>
      <x:c r="L19" s="292" t="str">
        <x:v>张琪</x:v>
      </x:c>
      <x:c r="M19" s="292" t="str">
        <x:v>未执行</x:v>
      </x:c>
      <x:c r="N19" s="294"/>
      <x:c r="O19" s="293" t="str">
        <x:v>当前规划接口存在服务端事实绑定缺口，未修前不得通过。</x:v>
      </x:c>
    </x:row>
    <x:row r="20" ht="88" customHeight="1">
      <x:c r="A20" s="292" t="str">
        <x:v>UAT-S2-014</x:v>
      </x:c>
      <x:c r="B20" s="292" t="str">
        <x:v>候选与公平</x:v>
      </x:c>
      <x:c r="C20" s="292" t="str">
        <x:v>必演</x:v>
      </x:c>
      <x:c r="D20" s="293" t="str">
        <x:v>LLM 只从候选白名单中提议地点和顺序。</x:v>
      </x:c>
      <x:c r="E20" s="293" t="str">
        <x:v>候选 FactRef 已签发。</x:v>
      </x:c>
      <x:c r="F20" s="293" t="str">
        <x:v>触发第二次主流程 LLM 调用并查看“AI 辅助选择”。</x:v>
      </x:c>
      <x:c r="G20" s="293" t="str">
        <x:v>页面显示被选 FactRef 对应地点和简短理由；没有模型生成的坐标/价格/路线。</x:v>
      </x:c>
      <x:c r="H20" s="293" t="str">
        <x:v>所有 ID 唯一且在 allowlist；输出不含 score/PASS/planId/status；程序随后继续校验。</x:v>
      </x:c>
      <x:c r="I20" s="293" t="str">
        <x:v>看 LLM 是“选候选”，不是“宣布最终正确”。</x:v>
      </x:c>
      <x:c r="J20" s="293" t="str">
        <x:v>请求/响应脱敏快照+白名单对照。</x:v>
      </x:c>
      <x:c r="K20" s="292" t="str">
        <x:v>PBI-08-A / AC-08-A</x:v>
      </x:c>
      <x:c r="L20" s="292" t="str">
        <x:v>张琪</x:v>
      </x:c>
      <x:c r="M20" s="292" t="str">
        <x:v>未执行</x:v>
      </x:c>
      <x:c r="N20" s="294"/>
      <x:c r="O20" s="293" t="str">
        <x:v>第二次调用可同时给简短理由草稿。</x:v>
      </x:c>
    </x:row>
    <x:row r="21" ht="88" customHeight="1">
      <x:c r="A21" s="292" t="str">
        <x:v>UAT-S2-015</x:v>
      </x:c>
      <x:c r="B21" s="292" t="str">
        <x:v>候选与公平</x:v>
      </x:c>
      <x:c r="C21" s="292" t="str">
        <x:v>可选</x:v>
      </x:c>
      <x:c r="D21" s="293" t="str">
        <x:v>越界、重复或 extra 字段的模型输出被拒绝。</x:v>
      </x:c>
      <x:c r="E21" s="293" t="str">
        <x:v>Fake LLM 返回不存在 FactRef、重复 ID 或自报价格/PASS。</x:v>
      </x:c>
      <x:c r="F21" s="293" t="str">
        <x:v>生成推荐。</x:v>
      </x:c>
      <x:c r="G21" s="293" t="str">
        <x:v>页面显示已切换确定性候选；非法提议不出现在最终方案。</x:v>
      </x:c>
      <x:c r="H21" s="293" t="str">
        <x:v>不进行第三次格式修复；非法输出不进入 trusted issuance；最终结果仍经同一校验。</x:v>
      </x:c>
      <x:c r="I21" s="293" t="str">
        <x:v>看坏输出是否被真正隔离。</x:v>
      </x:c>
      <x:c r="J21" s="293" t="str">
        <x:v>故障响应+拒绝 Trace+最终方案来源截图。</x:v>
      </x:c>
      <x:c r="K21" s="292" t="str">
        <x:v>PBI-08-A / AC-08-A</x:v>
      </x:c>
      <x:c r="L21" s="292" t="str">
        <x:v>张琪</x:v>
      </x:c>
      <x:c r="M21" s="292" t="str">
        <x:v>未执行</x:v>
      </x:c>
      <x:c r="N21" s="294"/>
      <x:c r="O21" s="293" t="str">
        <x:v>fail closed。</x:v>
      </x:c>
    </x:row>
    <x:row r="22" ht="88" customHeight="1">
      <x:c r="A22" s="292" t="str">
        <x:v>UAT-S2-016</x:v>
      </x:c>
      <x:c r="B22" s="292" t="str">
        <x:v>候选与公平</x:v>
      </x:c>
      <x:c r="C22" s="292" t="str">
        <x:v>可选</x:v>
      </x:c>
      <x:c r="D22" s="293" t="str">
        <x:v>未知费用/设施不按 0 元或已具备处理。</x:v>
      </x:c>
      <x:c r="E22" s="293" t="str">
        <x:v>候选含 price=null 或 facility=UNKNOWN。</x:v>
      </x:c>
      <x:c r="F22" s="293" t="str">
        <x:v>查看候选、总费用与风险提示。</x:v>
      </x:c>
      <x:c r="G22" s="293" t="str">
        <x:v>未知项显示“待确认”；总费用只累计已知金额并注明范围。</x:v>
      </x:c>
      <x:c r="H22" s="293" t="str">
        <x:v>未知价格不等于 0；未知设施不显示满足/保证可达；硬约束依赖未知事实时阻止签发。</x:v>
      </x:c>
      <x:c r="I22" s="293" t="str">
        <x:v>看系统有没有用乐观假设蒙混过关。</x:v>
      </x:c>
      <x:c r="J22" s="293" t="str">
        <x:v>未知事实截图+费用计算记录。</x:v>
      </x:c>
      <x:c r="K22" s="292" t="str">
        <x:v>PBI-08-A / AC-08-A</x:v>
      </x:c>
      <x:c r="L22" s="292" t="str">
        <x:v>王敬博</x:v>
      </x:c>
      <x:c r="M22" s="292" t="str">
        <x:v>未执行</x:v>
      </x:c>
      <x:c r="N22" s="294"/>
      <x:c r="O22" s="293" t="str">
        <x:v>Provider 数据缺失时模型不得补全。</x:v>
      </x:c>
    </x:row>
    <x:row r="23" ht="88" customHeight="1">
      <x:c r="A23" s="292" t="str">
        <x:v>UAT-S2-017</x:v>
      </x:c>
      <x:c r="B23" s="292" t="str">
        <x:v>候选与公平</x:v>
      </x:c>
      <x:c r="C23" s="292" t="str">
        <x:v>可选</x:v>
      </x:c>
      <x:c r="D23" s="293" t="str">
        <x:v>硬约束失败候选不参与公平排序。</x:v>
      </x:c>
      <x:c r="E23" s="293" t="str">
        <x:v>准备一个超时/超预算/超步行或命中拒绝地点的候选。</x:v>
      </x:c>
      <x:c r="F23" s="293" t="str">
        <x:v>生成推荐并展开候选淘汰原因。</x:v>
      </x:c>
      <x:c r="G23" s="293" t="str">
        <x:v>失败候选显示规则和成员；不出现在最终排名。</x:v>
      </x:c>
      <x:c r="H23" s="293" t="str">
        <x:v>任一 HARD 非 PASS 即淘汰；无可行候选时只返回冲突/可放宽项，不保存 Plan。</x:v>
      </x:c>
      <x:c r="I23" s="293" t="str">
        <x:v>看系统是否先守底线、再谈公平。</x:v>
      </x:c>
      <x:c r="J23" s="293" t="str">
        <x:v>淘汰原因截图+零持久化记录。</x:v>
      </x:c>
      <x:c r="K23" s="292" t="str">
        <x:v>PBI-08-A / AC-08-A</x:v>
      </x:c>
      <x:c r="L23" s="292" t="str">
        <x:v>王敬博</x:v>
      </x:c>
      <x:c r="M23" s="292" t="str">
        <x:v>未执行</x:v>
      </x:c>
      <x:c r="N23" s="294"/>
      <x:c r="O23" s="293" t="str">
        <x:v>LLM 无权判断 PASS。</x:v>
      </x:c>
    </x:row>
    <x:row r="24" ht="88" customHeight="1">
      <x:c r="A24" s="292" t="str">
        <x:v>UAT-S2-018</x:v>
      </x:c>
      <x:c r="B24" s="292" t="str">
        <x:v>候选与公平</x:v>
      </x:c>
      <x:c r="C24" s="292" t="str">
        <x:v>必演</x:v>
      </x:c>
      <x:c r="D24" s="293" t="str">
        <x:v>每位成员看到 0—100 满意度与扣分解释。</x:v>
      </x:c>
      <x:c r="E24" s="293" t="str">
        <x:v>三人、至少两个通过硬约束的候选。</x:v>
      </x:c>
      <x:c r="F24" s="293" t="str">
        <x:v>查看公平详情。</x:v>
      </x:c>
      <x:c r="G24" s="293" t="str">
        <x:v>A/B/C 各有分数、扣分 ruleId 与易懂原因；最低分突出。</x:v>
      </x:c>
      <x:c r="H24" s="293" t="str">
        <x:v>每分在 0—100；总分可由扣分复算；没有只显示平均分。</x:v>
      </x:c>
      <x:c r="I24" s="293" t="str">
        <x:v>让老师现场抽一位成员复算。</x:v>
      </x:c>
      <x:c r="J24" s="293" t="str">
        <x:v>分数/扣分截图+评分记录。</x:v>
      </x:c>
      <x:c r="K24" s="292" t="str">
        <x:v>PBI-08-A / AC-08-A</x:v>
      </x:c>
      <x:c r="L24" s="292" t="str">
        <x:v>王敬博</x:v>
      </x:c>
      <x:c r="M24" s="292" t="str">
        <x:v>未执行</x:v>
      </x:c>
      <x:c r="N24" s="294"/>
      <x:c r="O24" s="293" t="str">
        <x:v>分数由服务端确定性计算。</x:v>
      </x:c>
    </x:row>
    <x:row r="25" ht="88" customHeight="1">
      <x:c r="A25" s="292" t="str">
        <x:v>UAT-S2-019</x:v>
      </x:c>
      <x:c r="B25" s="292" t="str">
        <x:v>候选与公平</x:v>
      </x:c>
      <x:c r="C25" s="292" t="str">
        <x:v>必演</x:v>
      </x:c>
      <x:c r="D25" s="293" t="str">
        <x:v>按 max-min 公平规则得到唯一推荐。</x:v>
      </x:c>
      <x:c r="E25" s="293" t="str">
        <x:v>准备候选 A=80/80/80、B=95/95/50 等可复算数据。</x:v>
      </x:c>
      <x:c r="F25" s="293" t="str">
        <x:v>运行排序并打开选择理由。</x:v>
      </x:c>
      <x:c r="G25" s="293" t="str">
        <x:v>页面说明先比较最低分，再比较平均、费用、绕路与稳定 ID；只显示一个胜者。</x:v>
      </x:c>
      <x:c r="H25" s="293" t="str">
        <x:v>排序与规则完全一致；相同输入重复运行胜者不变；最低成员没有被平均数掩盖。</x:v>
      </x:c>
      <x:c r="I25" s="293" t="str">
        <x:v>看最低分优先，而不是看漂亮的平均数。</x:v>
      </x:c>
      <x:c r="J25" s="293" t="str">
        <x:v>候选分数表+排序结果+重复运行截图。</x:v>
      </x:c>
      <x:c r="K25" s="292" t="str">
        <x:v>PBI-08-A / AC-08-A</x:v>
      </x:c>
      <x:c r="L25" s="292" t="str">
        <x:v>王敬博</x:v>
      </x:c>
      <x:c r="M25" s="292" t="str">
        <x:v>未执行</x:v>
      </x:c>
      <x:c r="N25" s="294"/>
      <x:c r="O25" s="293" t="str">
        <x:v>max-min：先照顾最不满意的人。</x:v>
      </x:c>
    </x:row>
    <x:row r="26" ht="88" customHeight="1">
      <x:c r="A26" s="292" t="str">
        <x:v>UAT-S2-020</x:v>
      </x:c>
      <x:c r="B26" s="292" t="str">
        <x:v>候选与公平</x:v>
      </x:c>
      <x:c r="C26" s="292" t="str">
        <x:v>必演</x:v>
      </x:c>
      <x:c r="D26" s="293" t="str">
        <x:v>获得唯一 3—4 任务方案并由用户确认 Plan V1。</x:v>
      </x:c>
      <x:c r="E26" s="293" t="str">
        <x:v>至少一个候选全部 HARD PASS。</x:v>
      </x:c>
      <x:c r="F26" s="293" t="str">
        <x:v>查看任务/时间/交通/费用/风险/关怀理由，再点击确认。</x:v>
      </x:c>
      <x:c r="G26" s="293" t="str">
        <x:v>只有一个 3—4 任务方案；解释与结构化事实一致；确认前是候选，确认后才成为 CURRENT V1。</x:v>
      </x:c>
      <x:c r="H26" s="293" t="str">
        <x:v>模型解释失败也可展示方案；任何理由不得改变任务、费用、来源、Constraint 或状态。</x:v>
      </x:c>
      <x:c r="I26" s="293" t="str">
        <x:v>看“唯一方案 + 用户确认 + 状态变化”。</x:v>
      </x:c>
      <x:c r="J26" s="293" t="str">
        <x:v>方案前后截图+状态日志+解释失败截图。</x:v>
      </x:c>
      <x:c r="K26" s="292" t="str">
        <x:v>PBI-08-A / PBI-11-A</x:v>
      </x:c>
      <x:c r="L26" s="292" t="str">
        <x:v>王敬博</x:v>
      </x:c>
      <x:c r="M26" s="292" t="str">
        <x:v>未执行</x:v>
      </x:c>
      <x:c r="N26" s="294"/>
      <x:c r="O26" s="293" t="str">
        <x:v>未确认前不得保存正式 V1。</x:v>
      </x:c>
    </x:row>
    <x:row r="27" ht="88" customHeight="1">
      <x:c r="A27" s="292" t="str">
        <x:v>UAT-S2-021</x:v>
      </x:c>
      <x:c r="B27" s="292" t="str">
        <x:v>成员与冲突</x:v>
      </x:c>
      <x:c r="C27" s="292" t="str">
        <x:v>可选</x:v>
      </x:c>
      <x:c r="D27" s="293" t="str">
        <x:v>录入并恢复 2 张成员卡。</x:v>
      </x:c>
      <x:c r="E27" s="293" t="str">
        <x:v>新建两人行程。</x:v>
      </x:c>
      <x:c r="F27" s="293" t="str">
        <x:v>按预设问题完成两人卡、保存、刷新。</x:v>
      </x:c>
      <x:c r="G27" s="293" t="str">
        <x:v>两张卡分别显示预算/兴趣/关怀；刷新后数据仍在同一 Trip。</x:v>
      </x:c>
      <x:c r="H27" s="293" t="str">
        <x:v>participants 长度=2，身份可区分；不复制两个 Trip；未确认字段明确标出。</x:v>
      </x:c>
      <x:c r="I27" s="293" t="str">
        <x:v>看两人的信息是否串卡。</x:v>
      </x:c>
      <x:c r="J27" s="293" t="str">
        <x:v>录屏+刷新前后截图。</x:v>
      </x:c>
      <x:c r="K27" s="292" t="str">
        <x:v>PBI-07-A / AC-07-A</x:v>
      </x:c>
      <x:c r="L27" s="292" t="str">
        <x:v>陈梓元</x:v>
      </x:c>
      <x:c r="M27" s="292" t="str">
        <x:v>未执行</x:v>
      </x:c>
      <x:c r="N27" s="294"/>
      <x:c r="O27" s="293" t="str">
        <x:v>当前代码仍 max=1，默认未执行。</x:v>
      </x:c>
    </x:row>
    <x:row r="28" ht="88" customHeight="1">
      <x:c r="A28" s="292" t="str">
        <x:v>UAT-S2-022</x:v>
      </x:c>
      <x:c r="B28" s="292" t="str">
        <x:v>成员与冲突</x:v>
      </x:c>
      <x:c r="C28" s="292" t="str">
        <x:v>可选</x:v>
      </x:c>
      <x:c r="D28" s="293" t="str">
        <x:v>录入 3 张成员卡并由组织者代表确认。</x:v>
      </x:c>
      <x:c r="E28" s="293" t="str">
        <x:v>新建三人行程。</x:v>
      </x:c>
      <x:c r="F28" s="293" t="str">
        <x:v>完成 A/B/C 成员卡并点击组织者确认。</x:v>
      </x:c>
      <x:c r="G28" s="293" t="str">
        <x:v>页面显示三人已确认和组织者身份；修改任一成员后整体回到待确认。</x:v>
      </x:c>
      <x:c r="H28" s="293" t="str">
        <x:v>participants 长度=3；确认状态与修改回退正确；非组织者不能冒充确认。</x:v>
      </x:c>
      <x:c r="I28" s="293" t="str">
        <x:v>看确认是团队级状态，不是三个按钮占位。</x:v>
      </x:c>
      <x:c r="J28" s="293" t="str">
        <x:v>三卡+组织者确认+修改回退录屏。</x:v>
      </x:c>
      <x:c r="K28" s="292" t="str">
        <x:v>PBI-07-A / AC-07-A</x:v>
      </x:c>
      <x:c r="L28" s="292" t="str">
        <x:v>陈梓元</x:v>
      </x:c>
      <x:c r="M28" s="292" t="str">
        <x:v>未执行</x:v>
      </x:c>
      <x:c r="N28" s="294"/>
      <x:c r="O28" s="293" t="str">
        <x:v>组织者代表，不做成员独立加入。</x:v>
      </x:c>
    </x:row>
    <x:row r="29" ht="88" customHeight="1">
      <x:c r="A29" s="292" t="str">
        <x:v>UAT-S2-023</x:v>
      </x:c>
      <x:c r="B29" s="292" t="str">
        <x:v>成员与冲突</x:v>
      </x:c>
      <x:c r="C29" s="292" t="str">
        <x:v>必演</x:v>
      </x:c>
      <x:c r="D29" s="293" t="str">
        <x:v>硬冲突定位到成员和规则并阻止规划。</x:v>
      </x:c>
      <x:c r="E29" s="293" t="str">
        <x:v>A 必去某地，B 拒绝该地；或时间/关怀冲突。</x:v>
      </x:c>
      <x:c r="F29" s="293" t="str">
        <x:v>确认团队并点击开始规划。</x:v>
      </x:c>
      <x:c r="G29" s="293" t="str">
        <x:v>显示 A/B、ruleId、冲突原因和至少一个可放宽项；主按钮被阻止。</x:v>
      </x:c>
      <x:c r="H29" s="293" t="str">
        <x:v>冲突存在时不调用 Provider/LLM 候选/规划器；只显示“无解”而无成员/规则即失败。</x:v>
      </x:c>
      <x:c r="I29" s="293" t="str">
        <x:v>老师能复述“谁和哪条规则冲突”。</x:v>
      </x:c>
      <x:c r="J29" s="293" t="str">
        <x:v>冲突卡+短路 Trace+屏幕录制。</x:v>
      </x:c>
      <x:c r="K29" s="292" t="str">
        <x:v>PBI-07-A / AC-07-A</x:v>
      </x:c>
      <x:c r="L29" s="292" t="str">
        <x:v>陈梓元</x:v>
      </x:c>
      <x:c r="M29" s="292" t="str">
        <x:v>未执行</x:v>
      </x:c>
      <x:c r="N29" s="294"/>
      <x:c r="O29" s="293" t="str">
        <x:v>模型可解释，程序裁决。</x:v>
      </x:c>
    </x:row>
    <x:row r="30" ht="88" customHeight="1">
      <x:c r="A30" s="292" t="str">
        <x:v>UAT-S2-024</x:v>
      </x:c>
      <x:c r="B30" s="292" t="str">
        <x:v>成员与冲突</x:v>
      </x:c>
      <x:c r="C30" s="292" t="str">
        <x:v>可选</x:v>
      </x:c>
      <x:c r="D30" s="293" t="str">
        <x:v>修正冲突后可继续且旧提示消失。</x:v>
      </x:c>
      <x:c r="E30" s="293" t="str">
        <x:v>已有一条明确硬冲突。</x:v>
      </x:c>
      <x:c r="F30" s="293" t="str">
        <x:v>按可放宽项修改并重新确认。</x:v>
      </x:c>
      <x:c r="G30" s="293" t="str">
        <x:v>冲突列表清零，开始规划可用；旧确认失效并生成新确认。</x:v>
      </x:c>
      <x:c r="H30" s="293" t="str">
        <x:v>新输入重新走确定性校验；旧 Constraint/冲突缓存不得沿用。</x:v>
      </x:c>
      <x:c r="I30" s="293" t="str">
        <x:v>看系统是否真正重算。</x:v>
      </x:c>
      <x:c r="J30" s="293" t="str">
        <x:v>修改前后截图+新确认记录。</x:v>
      </x:c>
      <x:c r="K30" s="292" t="str">
        <x:v>PBI-07-A / AC-07-A</x:v>
      </x:c>
      <x:c r="L30" s="292" t="str">
        <x:v>陈梓元</x:v>
      </x:c>
      <x:c r="M30" s="292" t="str">
        <x:v>未执行</x:v>
      </x:c>
      <x:c r="N30" s="294"/>
      <x:c r="O30" s="293" t="str">
        <x:v>与 UAT-S2-023 成对执行。</x:v>
      </x:c>
    </x:row>
    <x:row r="31" ht="88" customHeight="1">
      <x:c r="A31" s="292" t="str">
        <x:v>UAT-S2-025</x:v>
      </x:c>
      <x:c r="B31" s="292" t="str">
        <x:v>一次性GPS</x:v>
      </x:c>
      <x:c r="C31" s="292" t="str">
        <x:v>必演</x:v>
      </x:c>
      <x:c r="D31" s="293" t="str">
        <x:v>定位精度和距离都合格时自动判附近。</x:v>
      </x:c>
      <x:c r="E31" s="293" t="str">
        <x:v>HTTPS；任务有坐标；Fixture accuracy=50m、distance=120m。</x:v>
      </x:c>
      <x:c r="F31" s="293" t="str">
        <x:v>点击一次“到达辅助确认”并允许定位。</x:v>
      </x:c>
      <x:c r="G31" s="293" t="str">
        <x:v>显示精度、距离、阈值与“附近”；任务可继续确认到达。</x:v>
      </x:c>
      <x:c r="H31" s="293" t="str">
        <x:v>accuracy≤100m 且 distance≤max(150m,2×accuracy)；只调用一次定位。</x:v>
      </x:c>
      <x:c r="I31" s="293" t="str">
        <x:v>让老师现场看阈值数字。</x:v>
      </x:c>
      <x:c r="J31" s="293" t="str">
        <x:v>操作录屏+结果截图+一次调用记录。</x:v>
      </x:c>
      <x:c r="K31" s="292" t="str">
        <x:v>PBI-09-A / AC-09-A</x:v>
      </x:c>
      <x:c r="L31" s="292" t="str">
        <x:v>张琪</x:v>
      </x:c>
      <x:c r="M31" s="292" t="str">
        <x:v>未执行</x:v>
      </x:c>
      <x:c r="N31" s="294"/>
      <x:c r="O31" s="293" t="str">
        <x:v>GPS 是辅助证据。</x:v>
      </x:c>
    </x:row>
    <x:row r="32" ht="88" customHeight="1">
      <x:c r="A32" s="292" t="str">
        <x:v>UAT-S2-026</x:v>
      </x:c>
      <x:c r="B32" s="292" t="str">
        <x:v>一次性GPS</x:v>
      </x:c>
      <x:c r="C32" s="292" t="str">
        <x:v>可选</x:v>
      </x:c>
      <x:c r="D32" s="293" t="str">
        <x:v>距离过远时不自动判到达。</x:v>
      </x:c>
      <x:c r="E32" s="293" t="str">
        <x:v>Fixture accuracy=30m、distance=500m。</x:v>
      </x:c>
      <x:c r="F32" s="293" t="str">
        <x:v>点击到达辅助。</x:v>
      </x:c>
      <x:c r="G32" s="293" t="str">
        <x:v>显示“距离过远”及距离；提供人工确认/取消。</x:v>
      </x:c>
      <x:c r="H32" s="293" t="str">
        <x:v>不得自动完成任务；人工确认来源标“用户确认”。</x:v>
      </x:c>
      <x:c r="I32" s="293" t="str">
        <x:v>看远距离不会误判。</x:v>
      </x:c>
      <x:c r="J32" s="293" t="str">
        <x:v>过远截图+人工确认来源记录。</x:v>
      </x:c>
      <x:c r="K32" s="292" t="str">
        <x:v>PBI-09-A / AC-09-A</x:v>
      </x:c>
      <x:c r="L32" s="292" t="str">
        <x:v>张琪</x:v>
      </x:c>
      <x:c r="M32" s="292" t="str">
        <x:v>未执行</x:v>
      </x:c>
      <x:c r="N32" s="294"/>
      <x:c r="O32" s="293" t="str">
        <x:v>阈值 max(150m,2×accuracy)。</x:v>
      </x:c>
    </x:row>
    <x:row r="33" ht="88" customHeight="1">
      <x:c r="A33" s="292" t="str">
        <x:v>UAT-S2-027</x:v>
      </x:c>
      <x:c r="B33" s="292" t="str">
        <x:v>一次性GPS</x:v>
      </x:c>
      <x:c r="C33" s="292" t="str">
        <x:v>可选</x:v>
      </x:c>
      <x:c r="D33" s="293" t="str">
        <x:v>拒绝定位权限时可人工确认。</x:v>
      </x:c>
      <x:c r="E33" s="293" t="str">
        <x:v>浏览器定位权限设为拒绝。</x:v>
      </x:c>
      <x:c r="F33" s="293" t="str">
        <x:v>点击到达辅助。</x:v>
      </x:c>
      <x:c r="G33" s="293" t="str">
        <x:v>页面显示权限拒绝原因、人工确认和取消；没有假坐标。</x:v>
      </x:c>
      <x:c r="H33" s="293" t="str">
        <x:v>拒绝不阻断行程；来源不得写成 GPS 通过。</x:v>
      </x:c>
      <x:c r="I33" s="293" t="str">
        <x:v>看权限拒绝是否可见。</x:v>
      </x:c>
      <x:c r="J33" s="293" t="str">
        <x:v>权限面板+页面结果+人工确认录屏。</x:v>
      </x:c>
      <x:c r="K33" s="292" t="str">
        <x:v>PBI-09-A / AC-09-A</x:v>
      </x:c>
      <x:c r="L33" s="292" t="str">
        <x:v>张琪</x:v>
      </x:c>
      <x:c r="M33" s="292" t="str">
        <x:v>未执行</x:v>
      </x:c>
      <x:c r="N33" s="294"/>
      <x:c r="O33" s="293" t="str">
        <x:v>不要求用户必须授权。</x:v>
      </x:c>
    </x:row>
    <x:row r="34" ht="88" customHeight="1">
      <x:c r="A34" s="292" t="str">
        <x:v>UAT-S2-028</x:v>
      </x:c>
      <x:c r="B34" s="292" t="str">
        <x:v>一次性GPS</x:v>
      </x:c>
      <x:c r="C34" s="292" t="str">
        <x:v>可选</x:v>
      </x:c>
      <x:c r="D34" s="293" t="str">
        <x:v>定位超时后结束加载并人工回退。</x:v>
      </x:c>
      <x:c r="E34" s="293" t="str">
        <x:v>Fixture 超时。</x:v>
      </x:c>
      <x:c r="F34" s="293" t="str">
        <x:v>点击到达辅助并等待。</x:v>
      </x:c>
      <x:c r="G34" s="293" t="str">
        <x:v>稳定时间内显示“定位超时”；提供人工确认/取消。</x:v>
      </x:c>
      <x:c r="H34" s="293" t="str">
        <x:v>加载不无限持续；不得后台继续定位。</x:v>
      </x:c>
      <x:c r="I34" s="293" t="str">
        <x:v>看超时后能否继续。</x:v>
      </x:c>
      <x:c r="J34" s="293" t="str">
        <x:v>计时录屏+超时截图。</x:v>
      </x:c>
      <x:c r="K34" s="292" t="str">
        <x:v>PBI-09-A / AC-09-A</x:v>
      </x:c>
      <x:c r="L34" s="292" t="str">
        <x:v>张琪</x:v>
      </x:c>
      <x:c r="M34" s="292" t="str">
        <x:v>未执行</x:v>
      </x:c>
      <x:c r="N34" s="294"/>
      <x:c r="O34" s="293" t="str">
        <x:v>不持续跟踪。</x:v>
      </x:c>
    </x:row>
    <x:row r="35" ht="88" customHeight="1">
      <x:c r="A35" s="292" t="str">
        <x:v>UAT-S2-029</x:v>
      </x:c>
      <x:c r="B35" s="292" t="str">
        <x:v>一次性GPS</x:v>
      </x:c>
      <x:c r="C35" s="292" t="str">
        <x:v>可选</x:v>
      </x:c>
      <x:c r="D35" s="293" t="str">
        <x:v>低精度定位不自动通过。</x:v>
      </x:c>
      <x:c r="E35" s="293" t="str">
        <x:v>Fixture accuracy=180m、distance=40m。</x:v>
      </x:c>
      <x:c r="F35" s="293" t="str">
        <x:v>点击到达辅助。</x:v>
      </x:c>
      <x:c r="G35" s="293" t="str">
        <x:v>页面显示低精度；即使距离近也要求人工确认。</x:v>
      </x:c>
      <x:c r="H35" s="293" t="str">
        <x:v>accuracy&gt;100m 必须人工确认；不显示“自动到达”。</x:v>
      </x:c>
      <x:c r="I35" s="293" t="str">
        <x:v>看精度和距离两个条件是否都用到。</x:v>
      </x:c>
      <x:c r="J35" s="293" t="str">
        <x:v>低精度截图+阈值记录。</x:v>
      </x:c>
      <x:c r="K35" s="292" t="str">
        <x:v>PBI-09-A / AC-09-A</x:v>
      </x:c>
      <x:c r="L35" s="292" t="str">
        <x:v>张琪</x:v>
      </x:c>
      <x:c r="M35" s="292" t="str">
        <x:v>未执行</x:v>
      </x:c>
      <x:c r="N35" s="294"/>
      <x:c r="O35" s="293" t="str">
        <x:v>accuracy 是误差范围。</x:v>
      </x:c>
    </x:row>
    <x:row r="36" ht="88" customHeight="1">
      <x:c r="A36" s="292" t="str">
        <x:v>UAT-S2-030</x:v>
      </x:c>
      <x:c r="B36" s="292" t="str">
        <x:v>一次性GPS</x:v>
      </x:c>
      <x:c r="C36" s="292" t="str">
        <x:v>必演</x:v>
      </x:c>
      <x:c r="D36" s="293" t="str">
        <x:v>所有非自动结果可人工确认，且绝不持续跟踪。</x:v>
      </x:c>
      <x:c r="E36" s="293" t="str">
        <x:v>已触发过远/拒绝/超时/低精度之一。</x:v>
      </x:c>
      <x:c r="F36" s="293" t="str">
        <x:v>点击人工确认，随后停留/切换页面。</x:v>
      </x:c>
      <x:c r="G36" s="293" t="str">
        <x:v>事件显示 source=MANUAL；任务只完成一次；页面不再请求新位置。</x:v>
      </x:c>
      <x:c r="H36" s="293" t="str">
        <x:v>无 watchPosition/后台轨迹；重复确认不重复事件。</x:v>
      </x:c>
      <x:c r="I36" s="293" t="str">
        <x:v>看来源诚实与“只定位一次”。</x:v>
      </x:c>
      <x:c r="J36" s="293" t="str">
        <x:v>事件截图+无持续监听+幂等录屏。</x:v>
      </x:c>
      <x:c r="K36" s="292" t="str">
        <x:v>PBI-09-A / AC-09-A</x:v>
      </x:c>
      <x:c r="L36" s="292" t="str">
        <x:v>张琪</x:v>
      </x:c>
      <x:c r="M36" s="292" t="str">
        <x:v>未执行</x:v>
      </x:c>
      <x:c r="N36" s="294"/>
      <x:c r="O36" s="293" t="str">
        <x:v>人工确认不等于 GPS PASS。</x:v>
      </x:c>
    </x:row>
    <x:row r="37" ht="88" customHeight="1">
      <x:c r="A37" s="292" t="str">
        <x:v>UAT-S2-031</x:v>
      </x:c>
      <x:c r="B37" s="292" t="str">
        <x:v>任务照片</x:v>
      </x:c>
      <x:c r="C37" s="292" t="str">
        <x:v>必演</x:v>
      </x:c>
      <x:c r="D37" s="293" t="str">
        <x:v>大图上传前压缩到 1.5MB 以下并移除 EXIF。</x:v>
      </x:c>
      <x:c r="E37" s="293" t="str">
        <x:v>准备含 GPS EXIF、&gt;1.5MB 的 JPEG。</x:v>
      </x:c>
      <x:c r="F37" s="293" t="str">
        <x:v>选择照片并等待处理。</x:v>
      </x:c>
      <x:c r="G37" s="293" t="str">
        <x:v>显示处理前/后大小与成功预览；后值&lt;1.5MB；不显示 EXIF 位置。</x:v>
      </x:c>
      <x:c r="H37" s="293" t="str">
        <x:v>二进制检查无 EXIF；处理失败有可见提示且任务仍可操作。</x:v>
      </x:c>
      <x:c r="I37" s="293" t="str">
        <x:v>让老师对比大小和隐私结果。</x:v>
      </x:c>
      <x:c r="J37" s="293" t="str">
        <x:v>原图/结果样本+EXIF 检查+录屏。</x:v>
      </x:c>
      <x:c r="K37" s="292" t="str">
        <x:v>PBI-10-A / AC-10-A</x:v>
      </x:c>
      <x:c r="L37" s="292" t="str">
        <x:v>王敬博</x:v>
      </x:c>
      <x:c r="M37" s="292" t="str">
        <x:v>未执行</x:v>
      </x:c>
      <x:c r="N37" s="294"/>
      <x:c r="O37" s="293" t="str">
        <x:v>当前仅 5MB 校验，默认未执行。</x:v>
      </x:c>
    </x:row>
    <x:row r="38" ht="88" customHeight="1">
      <x:c r="A38" s="292" t="str">
        <x:v>UAT-S2-032</x:v>
      </x:c>
      <x:c r="B38" s="292" t="str">
        <x:v>任务照片</x:v>
      </x:c>
      <x:c r="C38" s="292" t="str">
        <x:v>必演</x:v>
      </x:c>
      <x:c r="D38" s="293" t="str">
        <x:v>照片绑定当前任务且每站最多 1 张。</x:v>
      </x:c>
      <x:c r="E38" s="293" t="str">
        <x:v>当前任务 A，无照片。</x:v>
      </x:c>
      <x:c r="F38" s="293" t="str">
        <x:v>上传一张，再尝试给 A 上传第二张。</x:v>
      </x:c>
      <x:c r="G38" s="293" t="str">
        <x:v>第一张显示在 A；第二张要求替换或被阻止；不会跑到任务 B。</x:v>
      </x:c>
      <x:c r="H38" s="293" t="str">
        <x:v>存储记录 taskId=A；同站活动照片数≤1。</x:v>
      </x:c>
      <x:c r="I38" s="293" t="str">
        <x:v>看照片与任务的对应关系。</x:v>
      </x:c>
      <x:c r="J38" s="293" t="str">
        <x:v>任务页截图+绑定记录+第二张行为录屏。</x:v>
      </x:c>
      <x:c r="K38" s="292" t="str">
        <x:v>PBI-10-A / AC-10-A</x:v>
      </x:c>
      <x:c r="L38" s="292" t="str">
        <x:v>王敬博</x:v>
      </x:c>
      <x:c r="M38" s="292" t="str">
        <x:v>未执行</x:v>
      </x:c>
      <x:c r="N38" s="294"/>
      <x:c r="O38" s="293" t="str">
        <x:v>每站一张。</x:v>
      </x:c>
    </x:row>
    <x:row r="39" ht="88" customHeight="1">
      <x:c r="A39" s="292" t="str">
        <x:v>UAT-S2-033</x:v>
      </x:c>
      <x:c r="B39" s="292" t="str">
        <x:v>任务照片</x:v>
      </x:c>
      <x:c r="C39" s="292" t="str">
        <x:v>可选</x:v>
      </x:c>
      <x:c r="D39" s="293" t="str">
        <x:v>全程最多 8 张，第 9 张被阻止。</x:v>
      </x:c>
      <x:c r="E39" s="293" t="str">
        <x:v>不同任务已累计 8 张照片。</x:v>
      </x:c>
      <x:c r="F39" s="293" t="str">
        <x:v>尝试上传第 9 张。</x:v>
      </x:c>
      <x:c r="G39" s="293" t="str">
        <x:v>显示“全程最多 8 张”；原 8 张不丢失。</x:v>
      </x:c>
      <x:c r="H39" s="293" t="str">
        <x:v>第 9 张不上传/不计数；删除一张后可再上传。</x:v>
      </x:c>
      <x:c r="I39" s="293" t="str">
        <x:v>看数量边界和可恢复性。</x:v>
      </x:c>
      <x:c r="J39" s="293" t="str">
        <x:v>8/9 张计数截图+删除后上传录屏。</x:v>
      </x:c>
      <x:c r="K39" s="292" t="str">
        <x:v>PBI-10-A / AC-10-A</x:v>
      </x:c>
      <x:c r="L39" s="292" t="str">
        <x:v>王敬博</x:v>
      </x:c>
      <x:c r="M39" s="292" t="str">
        <x:v>未执行</x:v>
      </x:c>
      <x:c r="N39" s="294"/>
      <x:c r="O39" s="293" t="str">
        <x:v>限制不阻断任务完成。</x:v>
      </x:c>
    </x:row>
    <x:row r="40" ht="88" customHeight="1">
      <x:c r="A40" s="292" t="str">
        <x:v>UAT-S2-034</x:v>
      </x:c>
      <x:c r="B40" s="292" t="str">
        <x:v>任务照片</x:v>
      </x:c>
      <x:c r="C40" s="292" t="str">
        <x:v>可选</x:v>
      </x:c>
      <x:c r="D40" s="293" t="str">
        <x:v>上传后可显示并在刷新后恢复。</x:v>
      </x:c>
      <x:c r="E40" s="293" t="str">
        <x:v>当前任务已有成功照片。</x:v>
      </x:c>
      <x:c r="F40" s="293" t="str">
        <x:v>刷新或重新进入执行页。</x:v>
      </x:c>
      <x:c r="G40" s="293" t="str">
        <x:v>照片仍显示在原任务；加载中与失败态可见。</x:v>
      </x:c>
      <x:c r="H40" s="293" t="str">
        <x:v>不依赖浏览器内存 FileReader 临时数据；对象不可用时显示失败而非空白。</x:v>
      </x:c>
      <x:c r="I40" s="293" t="str">
        <x:v>看刷新后是否消失。</x:v>
      </x:c>
      <x:c r="J40" s="293" t="str">
        <x:v>刷新前后截图+加载/失败录屏。</x:v>
      </x:c>
      <x:c r="K40" s="292" t="str">
        <x:v>PBI-10-A / AC-10-A</x:v>
      </x:c>
      <x:c r="L40" s="292" t="str">
        <x:v>王敬博</x:v>
      </x:c>
      <x:c r="M40" s="292" t="str">
        <x:v>未执行</x:v>
      </x:c>
      <x:c r="N40" s="294"/>
      <x:c r="O40" s="293" t="str">
        <x:v>当前仅浏览器内存，默认未执行。</x:v>
      </x:c>
    </x:row>
    <x:row r="41" ht="88" customHeight="1">
      <x:c r="A41" s="292" t="str">
        <x:v>UAT-S2-035</x:v>
      </x:c>
      <x:c r="B41" s="292" t="str">
        <x:v>任务照片</x:v>
      </x:c>
      <x:c r="C41" s="292" t="str">
        <x:v>可选</x:v>
      </x:c>
      <x:c r="D41" s="293" t="str">
        <x:v>支持替换与删除，删除照片不进回忆。</x:v>
      </x:c>
      <x:c r="E41" s="293" t="str">
        <x:v>任务 A 已有照片。</x:v>
      </x:c>
      <x:c r="F41" s="293" t="str">
        <x:v>执行替换，再删除，随后打开回忆。</x:v>
      </x:c>
      <x:c r="G41" s="293" t="str">
        <x:v>替换后只剩新图；删除后执行页和回忆页均不显示。</x:v>
      </x:c>
      <x:c r="H41" s="293" t="str">
        <x:v>活动记录≤1；已删除对象被聚合过滤；旧图不可见。</x:v>
      </x:c>
      <x:c r="I41" s="293" t="str">
        <x:v>看删除是不是只隐藏按钮。</x:v>
      </x:c>
      <x:c r="J41" s="293" t="str">
        <x:v>替换/删除/回忆录屏。</x:v>
      </x:c>
      <x:c r="K41" s="292" t="str">
        <x:v>PBI-10-A / PBI-12-A</x:v>
      </x:c>
      <x:c r="L41" s="292" t="str">
        <x:v>王敬博</x:v>
      </x:c>
      <x:c r="M41" s="292" t="str">
        <x:v>未执行</x:v>
      </x:c>
      <x:c r="N41" s="294"/>
      <x:c r="O41" s="293" t="str">
        <x:v>删除后不得残留。</x:v>
      </x:c>
    </x:row>
    <x:row r="42" ht="88" customHeight="1">
      <x:c r="A42" s="292" t="str">
        <x:v>UAT-S2-036</x:v>
      </x:c>
      <x:c r="B42" s="292" t="str">
        <x:v>任务照片</x:v>
      </x:c>
      <x:c r="C42" s="292" t="str">
        <x:v>可选</x:v>
      </x:c>
      <x:c r="D42" s="293" t="str">
        <x:v>压缩/上传/存储失败不阻断任务。</x:v>
      </x:c>
      <x:c r="E42" s="293" t="str">
        <x:v>注入处理或上传失败。</x:v>
      </x:c>
      <x:c r="F42" s="293" t="str">
        <x:v>选择照片并在失败提示后继续完成任务。</x:v>
      </x:c>
      <x:c r="G42" s="293" t="str">
        <x:v>错误原因和重试入口可见；完成任务仍可操作。</x:v>
      </x:c>
      <x:c r="H42" s="293" t="str">
        <x:v>失败不产生假照片；任务状态可正常变化；错误不静默。</x:v>
      </x:c>
      <x:c r="I42" s="293" t="str">
        <x:v>看失败是否把主流程锁死。</x:v>
      </x:c>
      <x:c r="J42" s="293" t="str">
        <x:v>故障录屏+任务完成截图。</x:v>
      </x:c>
      <x:c r="K42" s="292" t="str">
        <x:v>PBI-10-A / AC-10-A</x:v>
      </x:c>
      <x:c r="L42" s="292" t="str">
        <x:v>王敬博</x:v>
      </x:c>
      <x:c r="M42" s="292" t="str">
        <x:v>未执行</x:v>
      </x:c>
      <x:c r="N42" s="294"/>
      <x:c r="O42" s="293" t="str">
        <x:v>失败记录不等于功能通过。</x:v>
      </x:c>
    </x:row>
    <x:row r="43" ht="88" customHeight="1">
      <x:c r="A43" s="292" t="str">
        <x:v>UAT-S2-037</x:v>
      </x:c>
      <x:c r="B43" s="292" t="str">
        <x:v>任务照片</x:v>
      </x:c>
      <x:c r="C43" s="292" t="str">
        <x:v>可选</x:v>
      </x:c>
      <x:c r="D43" s="293" t="str">
        <x:v>0 张照片也能结束行程。</x:v>
      </x:c>
      <x:c r="E43" s="293" t="str">
        <x:v>全程未上传照片。</x:v>
      </x:c>
      <x:c r="F43" s="293" t="str">
        <x:v>完成/跳过任务并结束行程。</x:v>
      </x:c>
      <x:c r="G43" s="293" t="str">
        <x:v>正常进入回忆页，显示 0 张照片和文字总结。</x:v>
      </x:c>
      <x:c r="H43" s="293" t="str">
        <x:v>结束不因照片必填被阻止；回忆结构完整。</x:v>
      </x:c>
      <x:c r="I43" s="293" t="str">
        <x:v>看照片是否被误当强制证据。</x:v>
      </x:c>
      <x:c r="J43" s="293" t="str">
        <x:v>零照片结束录屏+回忆截图。</x:v>
      </x:c>
      <x:c r="K43" s="292" t="str">
        <x:v>PBI-10-A / PBI-12-A</x:v>
      </x:c>
      <x:c r="L43" s="292" t="str">
        <x:v>王敬博</x:v>
      </x:c>
      <x:c r="M43" s="292" t="str">
        <x:v>未执行</x:v>
      </x:c>
      <x:c r="N43" s="294"/>
      <x:c r="O43" s="293" t="str">
        <x:v>照片可选。</x:v>
      </x:c>
    </x:row>
    <x:row r="44" ht="88" customHeight="1">
      <x:c r="A44" s="292" t="str">
        <x:v>UAT-S2-038</x:v>
      </x:c>
      <x:c r="B44" s="292" t="str">
        <x:v>执行与重规划</x:v>
      </x:c>
      <x:c r="C44" s="292" t="str">
        <x:v>可选</x:v>
      </x:c>
      <x:c r="D44" s="293" t="str">
        <x:v>1/2/3 人复用同一执行、事件与版本体验。</x:v>
      </x:c>
      <x:c r="E44" s="293" t="str">
        <x:v>准备 1/2/3 人三组已确认 V1。</x:v>
      </x:c>
      <x:c r="F44" s="293" t="str">
        <x:v>分别进入执行、写事件、生成 V2 并接受/拒绝。</x:v>
      </x:c>
      <x:c r="G44" s="293" t="str">
        <x:v>三组页面与状态含义一致；只展示参与者差异。</x:v>
      </x:c>
      <x:c r="H44" s="293" t="str">
        <x:v>同一接口/状态机；每组仅一个 CURRENT；无复制表/流程造成的行为差异。</x:v>
      </x:c>
      <x:c r="I44" s="293" t="str">
        <x:v>看三组而不是只看多人截图。</x:v>
      </x:c>
      <x:c r="J44" s="293" t="str">
        <x:v>三组 E2E 录屏+版本快照。</x:v>
      </x:c>
      <x:c r="K44" s="292" t="str">
        <x:v>PBI-11-A / AC-11-A</x:v>
      </x:c>
      <x:c r="L44" s="292" t="str">
        <x:v>陈梓元</x:v>
      </x:c>
      <x:c r="M44" s="292" t="str">
        <x:v>未执行</x:v>
      </x:c>
      <x:c r="N44" s="294"/>
      <x:c r="O44" s="293" t="str">
        <x:v>用户验收不以数据库表为主。</x:v>
      </x:c>
    </x:row>
    <x:row r="45" ht="88" customHeight="1">
      <x:c r="A45" s="292" t="str">
        <x:v>UAT-S2-039</x:v>
      </x:c>
      <x:c r="B45" s="292" t="str">
        <x:v>执行与重规划</x:v>
      </x:c>
      <x:c r="C45" s="292" t="str">
        <x:v>可选</x:v>
      </x:c>
      <x:c r="D45" s="293" t="str">
        <x:v>迟到口语先变成可确认事件草稿。</x:v>
      </x:c>
      <x:c r="E45" s="293" t="str">
        <x:v>行程 EXECUTING，当前任务已知。</x:v>
      </x:c>
      <x:c r="F45" s="293" t="str">
        <x:v>输入“晚了二十分钟”。</x:v>
      </x:c>
      <x:c r="G45" s="293" t="str">
        <x:v>出现 LATE、20 分钟、当前 taskId 的确认卡；确认前不重规划。</x:v>
      </x:c>
      <x:c r="H45" s="293" t="str">
        <x:v>模型不得直接写 ExecutionEvent/Constraint/版本；歧义或失败退固定数值表单。</x:v>
      </x:c>
      <x:c r="I45" s="293" t="str">
        <x:v>看“理解”与“执行”是否分开。</x:v>
      </x:c>
      <x:c r="J45" s="293" t="str">
        <x:v>口语→草稿→确认录屏。</x:v>
      </x:c>
      <x:c r="K45" s="292" t="str">
        <x:v>PBI-11-B / AC-11-B</x:v>
      </x:c>
      <x:c r="L45" s="292" t="str">
        <x:v>林粲涵</x:v>
      </x:c>
      <x:c r="M45" s="292" t="str">
        <x:v>未执行</x:v>
      </x:c>
      <x:c r="N45" s="294"/>
      <x:c r="O45" s="293" t="str">
        <x:v>执行期独立调用，不计 90 秒规划主链。</x:v>
      </x:c>
    </x:row>
    <x:row r="46" ht="88" customHeight="1">
      <x:c r="A46" s="292" t="str">
        <x:v>UAT-S2-040</x:v>
      </x:c>
      <x:c r="B46" s="292" t="str">
        <x:v>执行与重规划</x:v>
      </x:c>
      <x:c r="C46" s="292" t="str">
        <x:v>可选</x:v>
      </x:c>
      <x:c r="D46" s="293" t="str">
        <x:v>疲劳口语先变成可确认事件草稿。</x:v>
      </x:c>
      <x:c r="E46" s="293" t="str">
        <x:v>行程 EXECUTING。</x:v>
      </x:c>
      <x:c r="F46" s="293" t="str">
        <x:v>输入“走不动了，想多休息”。</x:v>
      </x:c>
      <x:c r="G46" s="293" t="str">
        <x:v>出现 FATIGUE 等级/确认问题；不修改长期关怀档案。</x:v>
      </x:c>
      <x:c r="H46" s="293" t="str">
        <x:v>只有用户确认后才写事件；Profile 不变；模型不输出步行阈值。</x:v>
      </x:c>
      <x:c r="I46" s="293" t="str">
        <x:v>看系统不会把一次疲劳当长期偏好。</x:v>
      </x:c>
      <x:c r="J46" s="293" t="str">
        <x:v>草稿+Profile 前后对比。</x:v>
      </x:c>
      <x:c r="K46" s="292" t="str">
        <x:v>PBI-11-B / AC-11-B</x:v>
      </x:c>
      <x:c r="L46" s="292" t="str">
        <x:v>林粲涵</x:v>
      </x:c>
      <x:c r="M46" s="292" t="str">
        <x:v>未执行</x:v>
      </x:c>
      <x:c r="N46" s="294"/>
      <x:c r="O46" s="293" t="str">
        <x:v>阈值由程序映射。</x:v>
      </x:c>
    </x:row>
    <x:row r="47" ht="88" customHeight="1">
      <x:c r="A47" s="292" t="str">
        <x:v>UAT-S2-041</x:v>
      </x:c>
      <x:c r="B47" s="292" t="str">
        <x:v>执行与重规划</x:v>
      </x:c>
      <x:c r="C47" s="292" t="str">
        <x:v>必演</x:v>
      </x:c>
      <x:c r="D47" s="293" t="str">
        <x:v>迟到/疲劳由程序触发候选 V2，并保留已完成/锁定任务。</x:v>
      </x:c>
      <x:c r="E47" s="293" t="str">
        <x:v>V1 有已完成、锁定和未完成任务。</x:v>
      </x:c>
      <x:c r="F47" s="293" t="str">
        <x:v>确认 LATE 或 FATIGUE 事件并请求重规划。</x:v>
      </x:c>
      <x:c r="G47" s="293" t="str">
        <x:v>候选 V2 只调整未完成后缀；已完成/锁定项顺序和内容不变。</x:v>
      </x:c>
      <x:c r="H47" s="293" t="str">
        <x:v>冻结率=100%；预算/时间/路线/关怀全部重验；无解不保存半成品。</x:v>
      </x:c>
      <x:c r="I47" s="293" t="str">
        <x:v>让老师对照 V1/V2 前缀。</x:v>
      </x:c>
      <x:c r="J47" s="293" t="str">
        <x:v>事件+V1/V2 对照+冻结率记录。</x:v>
      </x:c>
      <x:c r="K47" s="292" t="str">
        <x:v>PBI-11-B / AC-11-B</x:v>
      </x:c>
      <x:c r="L47" s="292" t="str">
        <x:v>林粲涵</x:v>
      </x:c>
      <x:c r="M47" s="292" t="str">
        <x:v>未执行</x:v>
      </x:c>
      <x:c r="N47" s="294"/>
      <x:c r="O47" s="293" t="str">
        <x:v>最小扰动：已完成/锁定完全不动。</x:v>
      </x:c>
    </x:row>
    <x:row r="48" ht="88" customHeight="1">
      <x:c r="A48" s="292" t="str">
        <x:v>UAT-S2-042</x:v>
      </x:c>
      <x:c r="B48" s="292" t="str">
        <x:v>执行与重规划</x:v>
      </x:c>
      <x:c r="C48" s="292" t="str">
        <x:v>必演</x:v>
      </x:c>
      <x:c r="D48" s="293" t="str">
        <x:v>查看程序生成的 Diff，未接受前不覆盖 CURRENT。</x:v>
      </x:c>
      <x:c r="E48" s="293" t="str">
        <x:v>候选 V2 已生成。</x:v>
      </x:c>
      <x:c r="F48" s="293" t="str">
        <x:v>打开 Diff，不做决策并刷新。</x:v>
      </x:c>
      <x:c r="G48" s="293" t="str">
        <x:v>新增/删除/移动/时间费用变化清楚可见；页面仍标 V1 为 CURRENT、V2 为候选。</x:v>
      </x:c>
      <x:c r="H48" s="293" t="str">
        <x:v>Diff 来自 canonical 数据；解释失败仍可读；刷新前后 CURRENT 不变。</x:v>
      </x:c>
      <x:c r="I48" s="293" t="str">
        <x:v>看候选是否会偷换当前计划。</x:v>
      </x:c>
      <x:c r="J48" s="293" t="str">
        <x:v>Diff 截图+刷新前后状态。</x:v>
      </x:c>
      <x:c r="K48" s="292" t="str">
        <x:v>PBI-11-A / PBI-11-B</x:v>
      </x:c>
      <x:c r="L48" s="292" t="str">
        <x:v>林粲涵</x:v>
      </x:c>
      <x:c r="M48" s="292" t="str">
        <x:v>未执行</x:v>
      </x:c>
      <x:c r="N48" s="294"/>
      <x:c r="O48" s="293" t="str">
        <x:v>LLM 只解释 Diff。</x:v>
      </x:c>
    </x:row>
    <x:row r="49" ht="88" customHeight="1">
      <x:c r="A49" s="292" t="str">
        <x:v>UAT-S2-043</x:v>
      </x:c>
      <x:c r="B49" s="292" t="str">
        <x:v>执行与重规划</x:v>
      </x:c>
      <x:c r="C49" s="292" t="str">
        <x:v>必演</x:v>
      </x:c>
      <x:c r="D49" s="293" t="str">
        <x:v>候选 V2 可接受或拒绝且状态闭环正确。</x:v>
      </x:c>
      <x:c r="E49" s="293" t="str">
        <x:v>V1=CURRENT，V2=PROPOSED。</x:v>
      </x:c>
      <x:c r="F49" s="293" t="str">
        <x:v>先用一个案例接受；另一个案例拒绝。</x:v>
      </x:c>
      <x:c r="G49" s="293" t="str">
        <x:v>接受后 V2=CURRENT、V1=SUPERSEDED；拒绝后 V2=REJECTED、V1 仍 CURRENT。</x:v>
      </x:c>
      <x:c r="H49" s="293" t="str">
        <x:v>每个 Trip 始终一个 CURRENT；重复点击幂等；不存在半切换。</x:v>
      </x:c>
      <x:c r="I49" s="293" t="str">
        <x:v>看两条分支的最终状态。</x:v>
      </x:c>
      <x:c r="J49" s="293" t="str">
        <x:v>接受/拒绝双录屏+状态日志。</x:v>
      </x:c>
      <x:c r="K49" s="292" t="str">
        <x:v>PBI-11-A / PBI-11-B</x:v>
      </x:c>
      <x:c r="L49" s="292" t="str">
        <x:v>林粲涵</x:v>
      </x:c>
      <x:c r="M49" s="292" t="str">
        <x:v>未执行</x:v>
      </x:c>
      <x:c r="N49" s="294"/>
      <x:c r="O49" s="293" t="str">
        <x:v>状态由程序事务处理。</x:v>
      </x:c>
    </x:row>
    <x:row r="50" ht="88" customHeight="1">
      <x:c r="A50" s="292" t="str">
        <x:v>UAT-S2-044</x:v>
      </x:c>
      <x:c r="B50" s="292" t="str">
        <x:v>旅行回忆</x:v>
      </x:c>
      <x:c r="C50" s="292" t="str">
        <x:v>可选</x:v>
      </x:c>
      <x:c r="D50" s="293" t="str">
        <x:v>回忆按实际事件顺序展示真实结果。</x:v>
      </x:c>
      <x:c r="E50" s="293" t="str">
        <x:v>行程含完成/跳过、费用、V1/V2、关怀、照片和一张已删除照片。</x:v>
      </x:c>
      <x:c r="F50" s="293" t="str">
        <x:v>结束行程并打开回忆。</x:v>
      </x:c>
      <x:c r="G50" s="293" t="str">
        <x:v>时间线按实际发生排序；显示完成率、计划/实际费用、版本变化、关怀结果和未删除照片。</x:v>
      </x:c>
      <x:c r="H50" s="293" t="str">
        <x:v>指标可由事件复算；删除照片不出现；照片只在绑定任务下。</x:v>
      </x:c>
      <x:c r="I50" s="293" t="str">
        <x:v>让老师从一条事件追到回忆条目。</x:v>
      </x:c>
      <x:c r="J50" s="293" t="str">
        <x:v>回忆全页录屏+事件对照表。</x:v>
      </x:c>
      <x:c r="K50" s="292" t="str">
        <x:v>PBI-12-A / AC-12-A</x:v>
      </x:c>
      <x:c r="L50" s="292" t="str">
        <x:v>王敬博</x:v>
      </x:c>
      <x:c r="M50" s="292" t="str">
        <x:v>未执行</x:v>
      </x:c>
      <x:c r="N50" s="294"/>
      <x:c r="O50" s="293" t="str">
        <x:v>PBI 业务主责仍为张琪，前端执行按任务交换由王敬博承担。</x:v>
      </x:c>
    </x:row>
    <x:row r="51" ht="88" customHeight="1">
      <x:c r="A51" s="292" t="str">
        <x:v>UAT-S2-045</x:v>
      </x:c>
      <x:c r="B51" s="292" t="str">
        <x:v>旅行回忆</x:v>
      </x:c>
      <x:c r="C51" s="292" t="str">
        <x:v>可选</x:v>
      </x:c>
      <x:c r="D51" s="293" t="str">
        <x:v>0 照片且无 V2 仍能总结。</x:v>
      </x:c>
      <x:c r="E51" s="293" t="str">
        <x:v>只执行 V1，未上传照片。</x:v>
      </x:c>
      <x:c r="F51" s="293" t="str">
        <x:v>结束并打开回忆。</x:v>
      </x:c>
      <x:c r="G51" s="293" t="str">
        <x:v>显示 0 张照片、无版本变更及完整文本总结；其他指标正常。</x:v>
      </x:c>
      <x:c r="H51" s="293" t="str">
        <x:v>页面无空白/报错/伪造照片或 V2；完成率和费用仍可见。</x:v>
      </x:c>
      <x:c r="I51" s="293" t="str">
        <x:v>看边界场景是否完整。</x:v>
      </x:c>
      <x:c r="J51" s="293" t="str">
        <x:v>零照片/无 V2 回忆截图。</x:v>
      </x:c>
      <x:c r="K51" s="292" t="str">
        <x:v>PBI-12-A / AC-12-A</x:v>
      </x:c>
      <x:c r="L51" s="292" t="str">
        <x:v>王敬博</x:v>
      </x:c>
      <x:c r="M51" s="292" t="str">
        <x:v>未执行</x:v>
      </x:c>
      <x:c r="N51" s="294"/>
      <x:c r="O51" s="293" t="str">
        <x:v>真实情况可以是“没有”。</x:v>
      </x:c>
    </x:row>
    <x:row r="52" ht="88" customHeight="1">
      <x:c r="A52" s="292" t="str">
        <x:v>UAT-S2-046</x:v>
      </x:c>
      <x:c r="B52" s="292" t="str">
        <x:v>精简界面</x:v>
      </x:c>
      <x:c r="C52" s="292" t="str">
        <x:v>可选</x:v>
      </x:c>
      <x:c r="D52" s="293" t="str">
        <x:v>主要流程只保留对话、确认卡和唯一主操作。</x:v>
      </x:c>
      <x:c r="E52" s="293" t="str">
        <x:v>打开新建行程、推荐、执行和 V2 页面。</x:v>
      </x:c>
      <x:c r="F52" s="293" t="str">
        <x:v>逐步完成一次流程并观察信息层级。</x:v>
      </x:c>
      <x:c r="G52" s="293" t="str">
        <x:v>当前问题/当前任务最突出；证据与高级细节折叠；同一含义不在多个大面板重复。</x:v>
      </x:c>
      <x:c r="H52" s="293" t="str">
        <x:v>每一步最多一个主操作；标签不是只靠 placeholder；用户不必跨多个页面找当前状态。</x:v>
      </x:c>
      <x:c r="I52" s="293" t="str">
        <x:v>看界面是否从“工作台”变成清晰对话流。</x:v>
      </x:c>
      <x:c r="J52" s="293" t="str">
        <x:v>改版前后对比+完整路径录屏。</x:v>
      </x:c>
      <x:c r="K52" s="292" t="str">
        <x:v>PBI-13-S2 / AC-13-S2</x:v>
      </x:c>
      <x:c r="L52" s="292" t="str">
        <x:v>林粲涵</x:v>
      </x:c>
      <x:c r="M52" s="292" t="str">
        <x:v>未执行</x:v>
      </x:c>
      <x:c r="N52" s="294"/>
      <x:c r="O52" s="293" t="str">
        <x:v>不新增自由聊天/实时协同。</x:v>
      </x:c>
    </x:row>
    <x:row r="53" ht="88" customHeight="1">
      <x:c r="A53" s="292" t="str">
        <x:v>UAT-S2-047</x:v>
      </x:c>
      <x:c r="B53" s="292" t="str">
        <x:v>精简界面</x:v>
      </x:c>
      <x:c r="C53" s="292" t="str">
        <x:v>可选</x:v>
      </x:c>
      <x:c r="D53" s="293" t="str">
        <x:v>375px/768px 无横向滚动且主触控目标≥44px。</x:v>
      </x:c>
      <x:c r="E53" s="293" t="str">
        <x:v>浏览器切到 375px 与 768px。</x:v>
      </x:c>
      <x:c r="F53" s="293" t="str">
        <x:v>操作对话、确认、定位、照片、Diff 和回忆。</x:v>
      </x:c>
      <x:c r="G53" s="293" t="str">
        <x:v>页面不横向滚动；主按钮/图标点击区≥44×44px，邻近目标间距≥8px。</x:v>
      </x:c>
      <x:c r="H53" s="293" t="str">
        <x:v>两种宽度全链均可点；文本/表格不被截断；焦点清晰可见。</x:v>
      </x:c>
      <x:c r="I53" s="293" t="str">
        <x:v>现场缩放视口并点主要控件。</x:v>
      </x:c>
      <x:c r="J53" s="293" t="str">
        <x:v>375/768 录屏+尺寸测量截图。</x:v>
      </x:c>
      <x:c r="K53" s="292" t="str">
        <x:v>PBI-13-S2 / AC-13-S2</x:v>
      </x:c>
      <x:c r="L53" s="292" t="str">
        <x:v>林粲涵</x:v>
      </x:c>
      <x:c r="M53" s="292" t="str">
        <x:v>未执行</x:v>
      </x:c>
      <x:c r="N53" s="294"/>
      <x:c r="O53" s="293" t="str">
        <x:v>当前多处控件不足 44px，默认未执行。</x:v>
      </x:c>
    </x:row>
    <x:row r="54" ht="88" customHeight="1">
      <x:c r="A54" s="292" t="str">
        <x:v>UAT-S2-048</x:v>
      </x:c>
      <x:c r="B54" s="292" t="str">
        <x:v>精简界面</x:v>
      </x:c>
      <x:c r="C54" s="292" t="str">
        <x:v>可选</x:v>
      </x:c>
      <x:c r="D54" s="293" t="str">
        <x:v>加载、权限拒绝、上传失败与 reduced-motion 均可见可用。</x:v>
      </x:c>
      <x:c r="E54" s="293" t="str">
        <x:v>准备慢响应/拒绝权限/上传失败，并开启减少动效。</x:v>
      </x:c>
      <x:c r="F54" s="293" t="str">
        <x:v>分别触发并尝试继续主流程。</x:v>
      </x:c>
      <x:c r="G54" s="293" t="str">
        <x:v>加载有稳定文案/aria-busy；错误有下一步；减少动效后无必要动画且信息不丢。</x:v>
      </x:c>
      <x:c r="H54" s="293" t="str">
        <x:v>无无限加载、仅颜色提示或不可点击死路；错误不阻断无关主操作。</x:v>
      </x:c>
      <x:c r="I54" s="293" t="str">
        <x:v>看异常状态和减少动效，而不只看正常截图。</x:v>
      </x:c>
      <x:c r="J54" s="293" t="str">
        <x:v>四态录屏+可访问检查记录。</x:v>
      </x:c>
      <x:c r="K54" s="292" t="str">
        <x:v>PBI-13-S2 / AC-13-S2</x:v>
      </x:c>
      <x:c r="L54" s="292" t="str">
        <x:v>林粲涵</x:v>
      </x:c>
      <x:c r="M54" s="292" t="str">
        <x:v>未执行</x:v>
      </x:c>
      <x:c r="N54" s="294"/>
      <x:c r="O54" s="293" t="str">
        <x:v>现有 reduced-motion 基线可复用。</x:v>
      </x:c>
    </x:row>
  </x:sheetData>
  <x:mergeCells>
    <x:mergeCell ref="A1:O1"/>
    <x:mergeCell ref="K3:O3"/>
    <x:mergeCell ref="A4:O4"/>
    <x:mergeCell ref="A2:O2"/>
  </x:mergeCells>
  <x:conditionalFormatting sqref="C7:C54">
    <x:cfRule type="containsText" dxfId="27" priority="8" operator="containsText" text="必演"/>
    <x:cfRule type="containsText" dxfId="28" priority="9" operator="containsText" text="可选"/>
  </x:conditionalFormatting>
  <x:conditionalFormatting sqref="M7:M54">
    <x:cfRule type="containsText" dxfId="29" priority="10" operator="containsText" text="未执行"/>
    <x:cfRule type="containsText" dxfId="30" priority="11" operator="containsText" text="通过"/>
    <x:cfRule type="containsText" dxfId="31" priority="12" operator="containsText" text="失败"/>
    <x:cfRule type="containsText" dxfId="32" priority="13" operator="containsText" text="阻塞"/>
    <x:cfRule type="containsText" dxfId="33" priority="14" operator="containsText" text="不适用"/>
  </x:conditionalFormatting>
  <x:dataValidations count="3">
    <x:dataValidation type="list" sqref="C7:C54">
      <x:formula1>"必演,可选"</x:formula1>
    </x:dataValidation>
    <x:dataValidation type="list" sqref="L7:L54">
      <x:formula1>"全员,陈梓元,王敬博,张琪,林粲涵"</x:formula1>
    </x:dataValidation>
    <x:dataValidation type="list" sqref="M7:M54">
      <x:formula1>"未执行,通过,失败,阻塞,不适用"</x:formula1>
    </x:dataValidation>
  </x:dataValidations>
  <x:printOptions horizontalCentered="0" verticalCentered="0" gridLines="0" headings="0"/>
  <x:pageMargins left="0.3" right="0.3" top="0.5" bottom="0.5" header="0.2" footer="0.2"/>
  <x:pageSetup paperSize="9" orientation="landscape" fitToWidth="2" fitToHeight="0" blackAndWhite="0" draft="0"/>
  <x:headerFooter>
    <x:oddFooter>&amp;L行知旅伴 V2.3&amp;R第 &amp;P / &amp;N 页</x:oddFooter>
  </x:headerFooter>
  <x:tableParts count="1">
    <x:tablePart xmlns:r="http://schemas.openxmlformats.org/officeDocument/2006/relationships" r:id="R80b3408b1dca4106"/>
  </x:tableParts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  <x:selection pane="bottomLeft" activeCell="A6" sqref="A6"/>
    </x:sheetView>
  </x:sheetViews>
  <x:sheetFormatPr baseColWidth="8" defaultRowHeight="15"/>
  <x:cols>
    <x:col min="1" max="1" width="8" customWidth="1"/>
    <x:col min="2" max="2" width="13" customWidth="1"/>
    <x:col min="3" max="3" width="31" customWidth="1"/>
    <x:col min="4" max="4" width="34" customWidth="1"/>
    <x:col min="5" max="5" width="31" customWidth="1"/>
    <x:col min="6" max="6" width="22" customWidth="1"/>
    <x:col min="7" max="7" width="29" customWidth="1"/>
    <x:col min="8" max="8" width="11" customWidth="1"/>
    <x:col min="9" max="9" width="11" customWidth="1"/>
  </x:cols>
  <x:sheetData>
    <x:row r="1" ht="34" customHeight="1">
      <x:c r="A1" s="4" t="str">
        <x:v>教师演示脚本 · 8.4 分钟混合 Agent 完整用户路径</x:v>
      </x:c>
    </x:row>
    <x:row r="2" ht="28" customHeight="1">
      <x:c r="A2" s="212" t="str">
        <x:v>前 90 秒：自然语言→预设问题/关怀确认→真实候选→LLM 白名单提议→程序公平唯一 3—4 任务方案；随后：执行→一次定位→照片→事件→V2/Diff→接受/拒绝→回忆→移动异常。</x:v>
      </x:c>
      <x:c r="B2" s="213" t="n"/>
      <x:c r="C2" s="213" t="n"/>
      <x:c r="D2" s="213" t="n"/>
      <x:c r="E2" s="213" t="n"/>
      <x:c r="F2" s="213" t="n"/>
      <x:c r="G2" s="213" t="n"/>
      <x:c r="H2" s="213" t="n"/>
      <x:c r="I2" s="214" t="n"/>
    </x:row>
    <x:row r="3" ht="34" customHeight="1">
      <x:c r="A3" s="178" t="str">
        <x:v>演示策略：主链现场完成；权限/超时/低精度、模型格式错、上传失败、拒绝 V2、0 照片/无 V2 用同构建 Fixture 或录屏补证，并在主表保持真实状态。</x:v>
      </x:c>
      <x:c r="B3" s="241" t="n"/>
      <x:c r="C3" s="241" t="n"/>
      <x:c r="D3" s="241" t="n"/>
      <x:c r="E3" s="241" t="n"/>
      <x:c r="F3" s="242" t="n"/>
      <x:c r="G3" s="178" t="inlineStr">
        <x:is>
          <x:t xml:space="preserve">总时长</x:t>
        </x:is>
      </x:c>
      <x:c r="H3" s="242" t="n"/>
      <x:c r="I3" s="298" t="n">
        <x:f>SUM(I6:I17)/60</x:f>
        <x:v>8.416666666666666</x:v>
      </x:c>
    </x:row>
    <x:row r="5" ht="32" customHeight="1">
      <x:c r="A5" s="252" t="str">
        <x:v>步骤</x:v>
      </x:c>
      <x:c r="B5" s="252" t="str">
        <x:v>时间</x:v>
      </x:c>
      <x:c r="C5" s="252" t="str">
        <x:v>用户操作</x:v>
      </x:c>
      <x:c r="D5" s="252" t="str">
        <x:v>用户应该看到</x:v>
      </x:c>
      <x:c r="E5" s="252" t="str">
        <x:v>老师现场判定点</x:v>
      </x:c>
      <x:c r="F5" s="252" t="str">
        <x:v>关联 UAT</x:v>
      </x:c>
      <x:c r="G5" s="252" t="str">
        <x:v>备用证据/降级</x:v>
      </x:c>
      <x:c r="H5" s="252" t="str">
        <x:v>讲解人</x:v>
      </x:c>
      <x:c r="I5" s="252" t="str">
        <x:v>耗时(秒)</x:v>
      </x:c>
    </x:row>
    <x:row r="6" ht="72" customHeight="1">
      <x:c r="A6" s="299" t="n">
        <x:v>1</x:v>
      </x:c>
      <x:c r="B6" s="299" t="str">
        <x:v>00:00–00:10</x:v>
      </x:c>
      <x:c r="C6" s="253" t="str">
        <x:v>打开新建行程，说明这是一条对话式混合 Agent。</x:v>
      </x:c>
      <x:c r="D6" s="253" t="str">
        <x:v>唯一输入框、示例提示和“开始描述”。</x:v>
      </x:c>
      <x:c r="E6" s="253" t="str">
        <x:v>无密集工作台；当前动作一眼可见。</x:v>
      </x:c>
      <x:c r="F6" s="299" t="str">
        <x:v>UAT-S2-046</x:v>
      </x:c>
      <x:c r="G6" s="299" t="str">
        <x:v>若公网 404，用同构建本地环境并如实记录公网阻塞。</x:v>
      </x:c>
      <x:c r="H6" s="299" t="str">
        <x:v>林粲涵</x:v>
      </x:c>
      <x:c r="I6" s="300" t="n">
        <x:v>10</x:v>
      </x:c>
    </x:row>
    <x:row r="7" ht="72" customHeight="1">
      <x:c r="A7" s="299" t="n">
        <x:v>2</x:v>
      </x:c>
      <x:c r="B7" s="299" t="str">
        <x:v>00:10–00:45</x:v>
      </x:c>
      <x:c r="C7" s="253" t="str">
        <x:v>输入三人完整/半完整需求，按一个预设问题补齐，并选择关怀预设。</x:v>
      </x:c>
      <x:c r="D7" s="253" t="str">
        <x:v>结构化草稿、字段证据、缺项问题与关怀总结。</x:v>
      </x:c>
      <x:c r="E7" s="253" t="str">
        <x:v>LLM 只理解；未确认不能规划。</x:v>
      </x:c>
      <x:c r="F7" s="299" t="str">
        <x:v>UAT-S2-002,003,008,009,012</x:v>
      </x:c>
      <x:c r="G7" s="299" t="str">
        <x:v>准备固定 referenceDate 与完整/缺项两段输入。</x:v>
      </x:c>
      <x:c r="H7" s="299" t="str">
        <x:v>陈梓元</x:v>
      </x:c>
      <x:c r="I7" s="300" t="n">
        <x:v>35</x:v>
      </x:c>
    </x:row>
    <x:row r="8" ht="72" customHeight="1">
      <x:c r="A8" s="299" t="n">
        <x:v>3</x:v>
      </x:c>
      <x:c r="B8" s="299" t="str">
        <x:v>00:45–01:10</x:v>
      </x:c>
      <x:c r="C8" s="253" t="str">
        <x:v>确认成员卡与关怀，生成 Provider 候选。</x:v>
      </x:c>
      <x:c r="D8" s="253" t="str">
        <x:v>候选来源、获取时间、未知事实“待确认”，AI 只选白名单 ID。</x:v>
      </x:c>
      <x:c r="E8" s="253" t="str">
        <x:v>无模型编造地点/价格；FactRef 可查。</x:v>
      </x:c>
      <x:c r="F8" s="299" t="str">
        <x:v>UAT-S2-013,014</x:v>
      </x:c>
      <x:c r="G8" s="299" t="str">
        <x:v>模型失败时演示确定性候选降级。</x:v>
      </x:c>
      <x:c r="H8" s="299" t="str">
        <x:v>张琪</x:v>
      </x:c>
      <x:c r="I8" s="300" t="n">
        <x:v>25</x:v>
      </x:c>
    </x:row>
    <x:row r="9" ht="72" customHeight="1">
      <x:c r="A9" s="299" t="n">
        <x:v>4</x:v>
      </x:c>
      <x:c r="B9" s="299" t="str">
        <x:v>01:10–01:30</x:v>
      </x:c>
      <x:c r="C9" s="253" t="str">
        <x:v>查看三人分数/max-min 理由和唯一 3—4 任务方案，确认 V1。</x:v>
      </x:c>
      <x:c r="D9" s="253" t="str">
        <x:v>每人分数/扣分、最低分优先、一个方案、确认后 CURRENT。</x:v>
      </x:c>
      <x:c r="E9" s="253" t="str">
        <x:v>90 秒规划段结束；理由不改事实。</x:v>
      </x:c>
      <x:c r="F9" s="299" t="str">
        <x:v>UAT-S2-018,019,020</x:v>
      </x:c>
      <x:c r="G9" s="299" t="str">
        <x:v>提前准备可心算的候选分数。</x:v>
      </x:c>
      <x:c r="H9" s="299" t="str">
        <x:v>王敬博</x:v>
      </x:c>
      <x:c r="I9" s="300" t="n">
        <x:v>20</x:v>
      </x:c>
    </x:row>
    <x:row r="10" ht="72" customHeight="1">
      <x:c r="A10" s="299" t="n">
        <x:v>5</x:v>
      </x:c>
      <x:c r="B10" s="299" t="str">
        <x:v>01:30–02:10</x:v>
      </x:c>
      <x:c r="C10" s="253" t="str">
        <x:v>在当前任务主动定位一次。</x:v>
      </x:c>
      <x:c r="D10" s="253" t="str">
        <x:v>精度、距离、阈值、来源；非自动结果可人工确认。</x:v>
      </x:c>
      <x:c r="E10" s="253" t="str">
        <x:v>没有持续 GPS。</x:v>
      </x:c>
      <x:c r="F10" s="299" t="str">
        <x:v>UAT-S2-025,030</x:v>
      </x:c>
      <x:c r="G10" s="299" t="str">
        <x:v>权限拒绝/超时用同构建录屏补证。</x:v>
      </x:c>
      <x:c r="H10" s="299" t="str">
        <x:v>张琪</x:v>
      </x:c>
      <x:c r="I10" s="300" t="n">
        <x:v>40</x:v>
      </x:c>
    </x:row>
    <x:row r="11" ht="72" customHeight="1">
      <x:c r="A11" s="299" t="n">
        <x:v>6</x:v>
      </x:c>
      <x:c r="B11" s="299" t="str">
        <x:v>02:10–02:55</x:v>
      </x:c>
      <x:c r="C11" s="253" t="str">
        <x:v>上传含 EXIF 的大图并绑定当前任务。</x:v>
      </x:c>
      <x:c r="D11" s="253" t="str">
        <x:v>压缩后&lt;1.5MB、无 EXIF、只在当前任务显示。</x:v>
      </x:c>
      <x:c r="E11" s="253" t="str">
        <x:v>失败仍可继续；照片不是强制。</x:v>
      </x:c>
      <x:c r="F11" s="299" t="str">
        <x:v>UAT-S2-031,032,036</x:v>
      </x:c>
      <x:c r="G11" s="299" t="str">
        <x:v>准备压缩前后样本。</x:v>
      </x:c>
      <x:c r="H11" s="299" t="str">
        <x:v>王敬博</x:v>
      </x:c>
      <x:c r="I11" s="300" t="n">
        <x:v>45</x:v>
      </x:c>
    </x:row>
    <x:row r="12" ht="72" customHeight="1">
      <x:c r="A12" s="299" t="n">
        <x:v>7</x:v>
      </x:c>
      <x:c r="B12" s="299" t="str">
        <x:v>02:55–03:25</x:v>
      </x:c>
      <x:c r="C12" s="253" t="str">
        <x:v>完成/锁定当前任务，展示当前 V1。</x:v>
      </x:c>
      <x:c r="D12" s="253" t="str">
        <x:v>事件已记录；当前版本不变。</x:v>
      </x:c>
      <x:c r="E12" s="253" t="str">
        <x:v>为最小扰动建立基准。</x:v>
      </x:c>
      <x:c r="F12" s="299" t="str">
        <x:v>UAT-S2-038</x:v>
      </x:c>
      <x:c r="G12" s="299" t="str">
        <x:v>用三人案例；1/2 人回归用附件证据。</x:v>
      </x:c>
      <x:c r="H12" s="299" t="str">
        <x:v>陈梓元</x:v>
      </x:c>
      <x:c r="I12" s="300" t="n">
        <x:v>30</x:v>
      </x:c>
    </x:row>
    <x:row r="13" ht="72" customHeight="1">
      <x:c r="A13" s="299" t="n">
        <x:v>8</x:v>
      </x:c>
      <x:c r="B13" s="299" t="str">
        <x:v>03:25–04:10</x:v>
      </x:c>
      <x:c r="C13" s="253" t="str">
        <x:v>输入“走不动了”或“晚了二十分钟”，确认事件。</x:v>
      </x:c>
      <x:c r="D13" s="253" t="str">
        <x:v>事件草稿与固定确认问题；长期 Profile 不变。</x:v>
      </x:c>
      <x:c r="E13" s="253" t="str">
        <x:v>LLM 只解析事件，程序确认和换算。</x:v>
      </x:c>
      <x:c r="F13" s="299" t="str">
        <x:v>UAT-S2-039,040,041</x:v>
      </x:c>
      <x:c r="G13" s="299" t="str">
        <x:v>准备 LATE 和 FATIGUE 两个可切换 Fixture。</x:v>
      </x:c>
      <x:c r="H13" s="299" t="str">
        <x:v>林粲涵</x:v>
      </x:c>
      <x:c r="I13" s="300" t="n">
        <x:v>45</x:v>
      </x:c>
    </x:row>
    <x:row r="14" ht="72" customHeight="1">
      <x:c r="A14" s="299" t="n">
        <x:v>9</x:v>
      </x:c>
      <x:c r="B14" s="299" t="str">
        <x:v>04:10–05:10</x:v>
      </x:c>
      <x:c r="C14" s="253" t="str">
        <x:v>查看候选 V2 和 Diff，先不接受并刷新。</x:v>
      </x:c>
      <x:c r="D14" s="253" t="str">
        <x:v>已完成/锁定不动；只改后缀；V1 仍 CURRENT。</x:v>
      </x:c>
      <x:c r="E14" s="253" t="str">
        <x:v>候选未接受前不覆盖。</x:v>
      </x:c>
      <x:c r="F14" s="299" t="str">
        <x:v>UAT-S2-041,042</x:v>
      </x:c>
      <x:c r="G14" s="299" t="str">
        <x:v>解释失败时展示结构化 Diff。</x:v>
      </x:c>
      <x:c r="H14" s="299" t="str">
        <x:v>林粲涵</x:v>
      </x:c>
      <x:c r="I14" s="300" t="n">
        <x:v>60</x:v>
      </x:c>
    </x:row>
    <x:row r="15" ht="72" customHeight="1">
      <x:c r="A15" s="299" t="n">
        <x:v>10</x:v>
      </x:c>
      <x:c r="B15" s="299" t="str">
        <x:v>05:10–05:55</x:v>
      </x:c>
      <x:c r="C15" s="253" t="str">
        <x:v>在一个案例接受 V2，在另一个案例拒绝。</x:v>
      </x:c>
      <x:c r="D15" s="253" t="str">
        <x:v>接受原子切换；拒绝继续 V1；每个 Trip 唯一 CURRENT。</x:v>
      </x:c>
      <x:c r="E15" s="253" t="str">
        <x:v>状态闭环可复核。</x:v>
      </x:c>
      <x:c r="F15" s="299" t="str">
        <x:v>UAT-S2-043</x:v>
      </x:c>
      <x:c r="G15" s="299" t="str">
        <x:v>准备双案例，避免现场回滚。</x:v>
      </x:c>
      <x:c r="H15" s="299" t="str">
        <x:v>陈梓元</x:v>
      </x:c>
      <x:c r="I15" s="300" t="n">
        <x:v>45</x:v>
      </x:c>
    </x:row>
    <x:row r="16" ht="72" customHeight="1">
      <x:c r="A16" s="299" t="n">
        <x:v>11</x:v>
      </x:c>
      <x:c r="B16" s="299" t="str">
        <x:v>05:55–07:05</x:v>
      </x:c>
      <x:c r="C16" s="253" t="str">
        <x:v>结束行程，打开回忆并删除/核对一张照片。</x:v>
      </x:c>
      <x:c r="D16" s="253" t="str">
        <x:v>实际顺序、完成率、费用、版本、关怀与未删除照片。</x:v>
      </x:c>
      <x:c r="E16" s="253" t="str">
        <x:v>0 照片/无 V2 也有总结。</x:v>
      </x:c>
      <x:c r="F16" s="299" t="str">
        <x:v>UAT-S2-035,044,045</x:v>
      </x:c>
      <x:c r="G16" s="299" t="str">
        <x:v>零照片/无 V2 用附件截图。</x:v>
      </x:c>
      <x:c r="H16" s="299" t="str">
        <x:v>王敬博</x:v>
      </x:c>
      <x:c r="I16" s="300" t="n">
        <x:v>70</x:v>
      </x:c>
    </x:row>
    <x:row r="17" ht="72" customHeight="1">
      <x:c r="A17" s="299" t="n">
        <x:v>12</x:v>
      </x:c>
      <x:c r="B17" s="299" t="str">
        <x:v>07:05–08:25</x:v>
      </x:c>
      <x:c r="C17" s="253" t="str">
        <x:v>切到 375px/768px，触发加载/权限拒绝/上传失败并开启减少动效。</x:v>
      </x:c>
      <x:c r="D17" s="253" t="str">
        <x:v>无横向滚动、主操作≥44px、错误有下一步、动效减少。</x:v>
      </x:c>
      <x:c r="E17" s="253" t="str">
        <x:v>移动与异常状态可真实操作。</x:v>
      </x:c>
      <x:c r="F17" s="299" t="str">
        <x:v>UAT-S2-047,048</x:v>
      </x:c>
      <x:c r="G17" s="299" t="str">
        <x:v>若设备受限，浏览器设备模式+录屏。</x:v>
      </x:c>
      <x:c r="H17" s="299" t="str">
        <x:v>林粲涵</x:v>
      </x:c>
      <x:c r="I17" s="300" t="n">
        <x:v>80</x:v>
      </x:c>
    </x:row>
    <x:row r="19">
      <x:c r="A19" s="246" t="str">
        <x:v>结束口径：老师应能复述“LLM 帮我把话听懂并从真实候选中提议，程序替我守住确认、硬约束、公平、费用和版本；即使模型失败，用户仍能完成同一条旅行闭环”。若只能看到模型输出、接口、日志或代码，相关场景不得判通过。</x:v>
      </x:c>
      <x:c r="B19" s="247" t="n"/>
      <x:c r="C19" s="247" t="n"/>
      <x:c r="D19" s="247" t="n"/>
      <x:c r="E19" s="247" t="n"/>
      <x:c r="F19" s="247" t="n"/>
      <x:c r="G19" s="247" t="n"/>
      <x:c r="H19" s="247" t="n"/>
      <x:c r="I19" s="222" t="n"/>
    </x:row>
    <x:row r="20">
      <x:c r="A20" s="224" t="n"/>
      <x:c r="B20" s="248" t="n"/>
      <x:c r="C20" s="248" t="n"/>
      <x:c r="D20" s="248" t="n"/>
      <x:c r="E20" s="248" t="n"/>
      <x:c r="F20" s="248" t="n"/>
      <x:c r="G20" s="248" t="n"/>
      <x:c r="H20" s="248" t="n"/>
      <x:c r="I20" s="225" t="n"/>
    </x:row>
  </x:sheetData>
  <x:mergeCells>
    <x:mergeCell ref="A2:I2"/>
    <x:mergeCell ref="A19:I20"/>
    <x:mergeCell ref="A1:I1"/>
    <x:mergeCell ref="A3:F3"/>
    <x:mergeCell ref="G3:H3"/>
  </x:mergeCells>
  <x:printOptions horizontalCentered="0" verticalCentered="0" gridLines="0" headings="0"/>
  <x:pageMargins left="0.3" right="0.3" top="0.5" bottom="0.5" header="0.2" footer="0.2"/>
  <x:pageSetup paperSize="9" orientation="landscape" fitToWidth="1" fitToHeight="1" blackAndWhite="0" draft="0"/>
  <x:headerFooter>
    <x:oddFooter>&amp;L行知旅伴 V2.3&amp;R第 &amp;P / &amp;N 页</x:oddFooter>
  </x:headerFooter>
  <x:tableParts count="1">
    <x:tablePart xmlns:r="http://schemas.openxmlformats.org/officeDocument/2006/relationships" r:id="R8faee93f3d6a4263"/>
  </x:tableParts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2" ySplit="16" topLeftCell="C17" activePane="bottomRight" state="frozen"/>
      <x:selection pane="bottomRight" activeCell="C17" sqref="C17"/>
    </x:sheetView>
  </x:sheetViews>
  <x:sheetFormatPr baseColWidth="8" defaultRowHeight="15"/>
  <x:cols>
    <x:col min="1" max="1" width="13" hidden="0" customWidth="1"/>
    <x:col min="2" max="2" width="13" hidden="0" customWidth="1"/>
    <x:col min="3" max="3" width="29" hidden="0" customWidth="1"/>
    <x:col min="4" max="4" width="23" hidden="0" customWidth="1"/>
    <x:col min="5" max="5" width="25" hidden="0" customWidth="1"/>
    <x:col min="6" max="6" width="31" hidden="0" customWidth="1"/>
    <x:col min="7" max="7" width="43" hidden="0" customWidth="1"/>
    <x:col min="8" max="8" width="12" hidden="0" customWidth="1"/>
    <x:col min="9" max="9" width="13" hidden="0" customWidth="1"/>
    <x:col min="10" max="10" width="11" hidden="0" customWidth="1"/>
    <x:col min="11" max="11" width="33" hidden="0" customWidth="1"/>
  </x:cols>
  <x:sheetData>
    <x:row r="1" ht="34" customHeight="1">
      <x:c r="A1" s="4" t="str">
        <x:v>Sprint 2 · PBI / AC / 用户场景 / 证据追溯（LLM 混合架构修订）</x:v>
      </x:c>
    </x:row>
    <x:row r="2" ht="28" customHeight="1">
      <x:c r="A2" s="212" t="str">
        <x:v>本表把 48 条用户场景映射到 PBI/AC/Task 与证据；当前代码/公网只读快照只说明底座或缺口，不会自动改变主表验收状态。</x:v>
      </x:c>
      <x:c r="B2" s="213" t="n"/>
      <x:c r="C2" s="213" t="n"/>
      <x:c r="D2" s="213" t="n"/>
      <x:c r="E2" s="213" t="n"/>
      <x:c r="F2" s="213" t="n"/>
      <x:c r="G2" s="213" t="n"/>
      <x:c r="H2" s="213" t="n"/>
      <x:c r="I2" s="213" t="n"/>
      <x:c r="J2" s="213" t="n"/>
      <x:c r="K2" s="214" t="n"/>
    </x:row>
    <x:row r="4" ht="24" customHeight="1">
      <x:c r="A4" s="216" t="inlineStr">
        <x:is>
          <x:t xml:space="preserve">8 条 PBI 覆盖汇总（状态由主表公式驱动）</x:t>
        </x:is>
      </x:c>
      <x:c r="B4" s="213" t="n"/>
      <x:c r="C4" s="213" t="n"/>
      <x:c r="D4" s="213" t="n"/>
      <x:c r="E4" s="213" t="n"/>
      <x:c r="F4" s="213" t="n"/>
      <x:c r="G4" s="213" t="n"/>
      <x:c r="H4" s="213" t="n"/>
      <x:c r="I4" s="213" t="n"/>
      <x:c r="J4" s="213" t="n"/>
      <x:c r="K4" s="214" t="n"/>
    </x:row>
    <x:row r="5" ht="32" customHeight="1">
      <x:c r="A5" s="301" t="str">
        <x:v>PBI-ID</x:v>
      </x:c>
      <x:c r="B5" s="301" t="str">
        <x:v>AC-ID</x:v>
      </x:c>
      <x:c r="C5" s="301" t="str">
        <x:v>主责</x:v>
      </x:c>
      <x:c r="D5" s="301" t="str">
        <x:v>SP</x:v>
      </x:c>
      <x:c r="E5" s="301" t="str">
        <x:v>Task 数</x:v>
      </x:c>
      <x:c r="F5" s="301" t="str">
        <x:v>关联场景数</x:v>
      </x:c>
      <x:c r="G5" s="301" t="str">
        <x:v>已通过场景</x:v>
      </x:c>
      <x:c r="H5" s="301" t="str">
        <x:v>PBI 验收状态</x:v>
      </x:c>
      <x:c r="J5" s="252" t="str">
        <x:v>总量检查</x:v>
      </x:c>
      <x:c r="K5" s="252" t="str">
        <x:v>公式结果</x:v>
      </x:c>
    </x:row>
    <x:row r="6" ht="30" customHeight="1">
      <x:c r="A6" s="253" t="str">
        <x:v>PBI-07-A</x:v>
      </x:c>
      <x:c r="B6" s="253" t="str">
        <x:v>AC-07-A</x:v>
      </x:c>
      <x:c r="C6" s="253" t="str">
        <x:v>陈梓元</x:v>
      </x:c>
      <x:c r="D6" s="299" t="n">
        <x:v>5</x:v>
      </x:c>
      <x:c r="E6" s="299" t="n">
        <x:v>4</x:v>
      </x:c>
      <x:c r="F6" s="299" t="n">
        <x:f>COUNTA($B$17)+COUNTA($B$18)+COUNTA($B$19)+COUNTA($B$20)+COUNTA($B$21)+COUNTA($B$22)+COUNTA($B$23)+COUNTA($B$24)+COUNTA($B$25)+COUNTA($B$26)+COUNTA($B$27)+COUNTA($B$28)+COUNTA($B$37)+COUNTA($B$38)+COUNTA($B$39)+COUNTA($B$40)</x:f>
        <x:v>16</x:v>
      </x:c>
      <x:c r="G6" s="299" t="n">
        <x:f>COUNTIF($H$17,"通过")+COUNTIF($H$18,"通过")+COUNTIF($H$19,"通过")+COUNTIF($H$20,"通过")+COUNTIF($H$21,"通过")+COUNTIF($H$22,"通过")+COUNTIF($H$23,"通过")+COUNTIF($H$24,"通过")+COUNTIF($H$25,"通过")+COUNTIF($H$26,"通过")+COUNTIF($H$27,"通过")+COUNTIF($H$28,"通过")+COUNTIF($H$37,"通过")+COUNTIF($H$38,"通过")+COUNTIF($H$39,"通过")+COUNTIF($H$40,"通过")</x:f>
        <x:v>0</x:v>
      </x:c>
      <x:c r="H6" s="253" t="str">
        <x:f>IF((COUNTIF($H$17,"阻塞")+COUNTIF($H$18,"阻塞")+COUNTIF($H$19,"阻塞")+COUNTIF($H$20,"阻塞")+COUNTIF($H$21,"阻塞")+COUNTIF($H$22,"阻塞")+COUNTIF($H$23,"阻塞")+COUNTIF($H$24,"阻塞")+COUNTIF($H$25,"阻塞")+COUNTIF($H$26,"阻塞")+COUNTIF($H$27,"阻塞")+COUNTIF($H$28,"阻塞")+COUNTIF($H$37,"阻塞")+COUNTIF($H$38,"阻塞")+COUNTIF($H$39,"阻塞")+COUNTIF($H$40,"阻塞"))&gt;0,"阻塞",IF((COUNTIF($H$17,"失败")+COUNTIF($H$18,"失败")+COUNTIF($H$19,"失败")+COUNTIF($H$20,"失败")+COUNTIF($H$21,"失败")+COUNTIF($H$22,"失败")+COUNTIF($H$23,"失败")+COUNTIF($H$24,"失败")+COUNTIF($H$25,"失败")+COUNTIF($H$26,"失败")+COUNTIF($H$27,"失败")+COUNTIF($H$28,"失败")+COUNTIF($H$37,"失败")+COUNTIF($H$38,"失败")+COUNTIF($H$39,"失败")+COUNTIF($H$40,"失败"))&gt;0,"失败",IF(AND(F6&gt;0,G6=F6),"通过","待验收")))</x:f>
        <x:v>待验收</x:v>
      </x:c>
      <x:c r="J6" s="253" t="str">
        <x:v>PBI</x:v>
      </x:c>
      <x:c r="K6" s="303" t="n">
        <x:f>COUNTA(A6:A13)</x:f>
        <x:v>8</x:v>
      </x:c>
    </x:row>
    <x:row r="7" ht="30" customHeight="1">
      <x:c r="A7" s="253" t="str">
        <x:v>PBI-08-A</x:v>
      </x:c>
      <x:c r="B7" s="253" t="str">
        <x:v>AC-08-A</x:v>
      </x:c>
      <x:c r="C7" s="253" t="str">
        <x:v>王敬博</x:v>
      </x:c>
      <x:c r="D7" s="299" t="n">
        <x:v>5</x:v>
      </x:c>
      <x:c r="E7" s="299" t="n">
        <x:v>4</x:v>
      </x:c>
      <x:c r="F7" s="299" t="n">
        <x:f>COUNTA($B$17)+COUNTA($B$29)+COUNTA($B$30)+COUNTA($B$31)+COUNTA($B$32)+COUNTA($B$33)+COUNTA($B$34)+COUNTA($B$35)+COUNTA($B$36)</x:f>
        <x:v>9</x:v>
      </x:c>
      <x:c r="G7" s="299" t="n">
        <x:f>COUNTIF($H$17,"通过")+COUNTIF($H$29,"通过")+COUNTIF($H$30,"通过")+COUNTIF($H$31,"通过")+COUNTIF($H$32,"通过")+COUNTIF($H$33,"通过")+COUNTIF($H$34,"通过")+COUNTIF($H$35,"通过")+COUNTIF($H$36,"通过")</x:f>
        <x:v>0</x:v>
      </x:c>
      <x:c r="H7" s="253" t="str">
        <x:f>IF((COUNTIF($H$17,"阻塞")+COUNTIF($H$29,"阻塞")+COUNTIF($H$30,"阻塞")+COUNTIF($H$31,"阻塞")+COUNTIF($H$32,"阻塞")+COUNTIF($H$33,"阻塞")+COUNTIF($H$34,"阻塞")+COUNTIF($H$35,"阻塞")+COUNTIF($H$36,"阻塞"))&gt;0,"阻塞",IF((COUNTIF($H$17,"失败")+COUNTIF($H$29,"失败")+COUNTIF($H$30,"失败")+COUNTIF($H$31,"失败")+COUNTIF($H$32,"失败")+COUNTIF($H$33,"失败")+COUNTIF($H$34,"失败")+COUNTIF($H$35,"失败")+COUNTIF($H$36,"失败"))&gt;0,"失败",IF(AND(F7&gt;0,G7=F7),"通过","待验收")))</x:f>
        <x:v>待验收</x:v>
      </x:c>
      <x:c r="J7" s="253" t="str">
        <x:v>SP</x:v>
      </x:c>
      <x:c r="K7" s="303" t="n">
        <x:f>SUM(D6:D13)</x:f>
        <x:v>36</x:v>
      </x:c>
    </x:row>
    <x:row r="8" ht="30" customHeight="1">
      <x:c r="A8" s="253" t="str">
        <x:v>PBI-09-A</x:v>
      </x:c>
      <x:c r="B8" s="253" t="str">
        <x:v>AC-09-A</x:v>
      </x:c>
      <x:c r="C8" s="253" t="str">
        <x:v>张琪</x:v>
      </x:c>
      <x:c r="D8" s="299" t="n">
        <x:v>5</x:v>
      </x:c>
      <x:c r="E8" s="299" t="n">
        <x:v>4</x:v>
      </x:c>
      <x:c r="F8" s="299" t="n">
        <x:f>COUNTA($B$17)+COUNTA($B$41)+COUNTA($B$42)+COUNTA($B$43)+COUNTA($B$44)+COUNTA($B$45)+COUNTA($B$46)</x:f>
        <x:v>7</x:v>
      </x:c>
      <x:c r="G8" s="299" t="n">
        <x:f>COUNTIF($H$17,"通过")+COUNTIF($H$41,"通过")+COUNTIF($H$42,"通过")+COUNTIF($H$43,"通过")+COUNTIF($H$44,"通过")+COUNTIF($H$45,"通过")+COUNTIF($H$46,"通过")</x:f>
        <x:v>0</x:v>
      </x:c>
      <x:c r="H8" s="253" t="str">
        <x:f>IF((COUNTIF($H$17,"阻塞")+COUNTIF($H$41,"阻塞")+COUNTIF($H$42,"阻塞")+COUNTIF($H$43,"阻塞")+COUNTIF($H$44,"阻塞")+COUNTIF($H$45,"阻塞")+COUNTIF($H$46,"阻塞"))&gt;0,"阻塞",IF((COUNTIF($H$17,"失败")+COUNTIF($H$41,"失败")+COUNTIF($H$42,"失败")+COUNTIF($H$43,"失败")+COUNTIF($H$44,"失败")+COUNTIF($H$45,"失败")+COUNTIF($H$46,"失败"))&gt;0,"失败",IF(AND(F8&gt;0,G8=F8),"通过","待验收")))</x:f>
        <x:v>待验收</x:v>
      </x:c>
      <x:c r="J8" s="253" t="str">
        <x:v>Task</x:v>
      </x:c>
      <x:c r="K8" s="303" t="n">
        <x:f>SUM(E6:E13)</x:f>
        <x:v>24</x:v>
      </x:c>
    </x:row>
    <x:row r="9" ht="30" customHeight="1">
      <x:c r="A9" s="253" t="str">
        <x:v>PBI-10-A</x:v>
      </x:c>
      <x:c r="B9" s="253" t="str">
        <x:v>AC-10-A</x:v>
      </x:c>
      <x:c r="C9" s="253" t="str">
        <x:v>王敬博</x:v>
      </x:c>
      <x:c r="D9" s="299" t="n">
        <x:v>5</x:v>
      </x:c>
      <x:c r="E9" s="299" t="n">
        <x:v>2</x:v>
      </x:c>
      <x:c r="F9" s="299" t="n">
        <x:f>COUNTA($B$17)+COUNTA($B$47)+COUNTA($B$48)+COUNTA($B$49)+COUNTA($B$50)+COUNTA($B$51)+COUNTA($B$52)+COUNTA($B$53)</x:f>
        <x:v>8</x:v>
      </x:c>
      <x:c r="G9" s="299" t="n">
        <x:f>COUNTIF($H$17,"通过")+COUNTIF($H$47,"通过")+COUNTIF($H$48,"通过")+COUNTIF($H$49,"通过")+COUNTIF($H$50,"通过")+COUNTIF($H$51,"通过")+COUNTIF($H$52,"通过")+COUNTIF($H$53,"通过")</x:f>
        <x:v>0</x:v>
      </x:c>
      <x:c r="H9" s="253" t="str">
        <x:f>IF((COUNTIF($H$17,"阻塞")+COUNTIF($H$47,"阻塞")+COUNTIF($H$48,"阻塞")+COUNTIF($H$49,"阻塞")+COUNTIF($H$50,"阻塞")+COUNTIF($H$51,"阻塞")+COUNTIF($H$52,"阻塞")+COUNTIF($H$53,"阻塞"))&gt;0,"阻塞",IF((COUNTIF($H$17,"失败")+COUNTIF($H$47,"失败")+COUNTIF($H$48,"失败")+COUNTIF($H$49,"失败")+COUNTIF($H$50,"失败")+COUNTIF($H$51,"失败")+COUNTIF($H$52,"失败")+COUNTIF($H$53,"失败"))&gt;0,"失败",IF(AND(F9&gt;0,G9=F9),"通过","待验收")))</x:f>
        <x:v>待验收</x:v>
      </x:c>
      <x:c r="J9" s="253" t="str">
        <x:v>用户场景</x:v>
      </x:c>
      <x:c r="K9" s="303" t="n">
        <x:f>COUNTA(B17:B64)</x:f>
        <x:v>48</x:v>
      </x:c>
    </x:row>
    <x:row r="10" ht="30" customHeight="1">
      <x:c r="A10" s="253" t="str">
        <x:v>PBI-11-A</x:v>
      </x:c>
      <x:c r="B10" s="253" t="str">
        <x:v>AC-11-A</x:v>
      </x:c>
      <x:c r="C10" s="253" t="str">
        <x:v>陈梓元</x:v>
      </x:c>
      <x:c r="D10" s="299" t="n">
        <x:v>3</x:v>
      </x:c>
      <x:c r="E10" s="299" t="n">
        <x:v>2</x:v>
      </x:c>
      <x:c r="F10" s="299" t="n">
        <x:f>COUNTA($B$17)+COUNTA($B$36)+COUNTA($B$54)+COUNTA($B$58)+COUNTA($B$59)</x:f>
        <x:v>5</x:v>
      </x:c>
      <x:c r="G10" s="299" t="n">
        <x:f>COUNTIF($H$17,"通过")+COUNTIF($H$36,"通过")+COUNTIF($H$54,"通过")+COUNTIF($H$58,"通过")+COUNTIF($H$59,"通过")</x:f>
        <x:v>0</x:v>
      </x:c>
      <x:c r="H10" s="253" t="str">
        <x:f>IF((COUNTIF($H$17,"阻塞")+COUNTIF($H$36,"阻塞")+COUNTIF($H$54,"阻塞")+COUNTIF($H$58,"阻塞")+COUNTIF($H$59,"阻塞"))&gt;0,"阻塞",IF((COUNTIF($H$17,"失败")+COUNTIF($H$36,"失败")+COUNTIF($H$54,"失败")+COUNTIF($H$58,"失败")+COUNTIF($H$59,"失败"))&gt;0,"失败",IF(AND(F10&gt;0,G10=F10),"通过","待验收")))</x:f>
        <x:v>待验收</x:v>
      </x:c>
    </x:row>
    <x:row r="11" ht="30" customHeight="1">
      <x:c r="A11" s="253" t="str">
        <x:v>PBI-11-B</x:v>
      </x:c>
      <x:c r="B11" s="253" t="str">
        <x:v>AC-11-B</x:v>
      </x:c>
      <x:c r="C11" s="253" t="str">
        <x:v>林粲涵</x:v>
      </x:c>
      <x:c r="D11" s="299" t="n">
        <x:v>5</x:v>
      </x:c>
      <x:c r="E11" s="299" t="n">
        <x:v>4</x:v>
      </x:c>
      <x:c r="F11" s="299" t="n">
        <x:f>COUNTA($B$17)+COUNTA($B$55)+COUNTA($B$56)+COUNTA($B$57)+COUNTA($B$58)+COUNTA($B$59)</x:f>
        <x:v>6</x:v>
      </x:c>
      <x:c r="G11" s="299" t="n">
        <x:f>COUNTIF($H$17,"通过")+COUNTIF($H$55,"通过")+COUNTIF($H$56,"通过")+COUNTIF($H$57,"通过")+COUNTIF($H$58,"通过")+COUNTIF($H$59,"通过")</x:f>
        <x:v>0</x:v>
      </x:c>
      <x:c r="H11" s="253" t="str">
        <x:f>IF((COUNTIF($H$17,"阻塞")+COUNTIF($H$55,"阻塞")+COUNTIF($H$56,"阻塞")+COUNTIF($H$57,"阻塞")+COUNTIF($H$58,"阻塞")+COUNTIF($H$59,"阻塞"))&gt;0,"阻塞",IF((COUNTIF($H$17,"失败")+COUNTIF($H$55,"失败")+COUNTIF($H$56,"失败")+COUNTIF($H$57,"失败")+COUNTIF($H$58,"失败")+COUNTIF($H$59,"失败"))&gt;0,"失败",IF(AND(F11&gt;0,G11=F11),"通过","待验收")))</x:f>
        <x:v>待验收</x:v>
      </x:c>
    </x:row>
    <x:row r="12" ht="30" customHeight="1">
      <x:c r="A12" s="253" t="str">
        <x:v>PBI-12-A</x:v>
      </x:c>
      <x:c r="B12" s="253" t="str">
        <x:v>AC-12-A</x:v>
      </x:c>
      <x:c r="C12" s="253" t="str">
        <x:v>张琪</x:v>
      </x:c>
      <x:c r="D12" s="299" t="n">
        <x:v>5</x:v>
      </x:c>
      <x:c r="E12" s="299" t="n">
        <x:v>2</x:v>
      </x:c>
      <x:c r="F12" s="299" t="n">
        <x:f>COUNTA($B$17)+COUNTA($B$51)+COUNTA($B$53)+COUNTA($B$60)+COUNTA($B$61)</x:f>
        <x:v>5</x:v>
      </x:c>
      <x:c r="G12" s="299" t="n">
        <x:f>COUNTIF($H$17,"通过")+COUNTIF($H$51,"通过")+COUNTIF($H$53,"通过")+COUNTIF($H$60,"通过")+COUNTIF($H$61,"通过")</x:f>
        <x:v>0</x:v>
      </x:c>
      <x:c r="H12" s="253" t="str">
        <x:f>IF((COUNTIF($H$17,"阻塞")+COUNTIF($H$51,"阻塞")+COUNTIF($H$53,"阻塞")+COUNTIF($H$60,"阻塞")+COUNTIF($H$61,"阻塞"))&gt;0,"阻塞",IF((COUNTIF($H$17,"失败")+COUNTIF($H$51,"失败")+COUNTIF($H$53,"失败")+COUNTIF($H$60,"失败")+COUNTIF($H$61,"失败"))&gt;0,"失败",IF(AND(F12&gt;0,G12=F12),"通过","待验收")))</x:f>
        <x:v>待验收</x:v>
      </x:c>
    </x:row>
    <x:row r="13" ht="30" customHeight="1">
      <x:c r="A13" s="253" t="str">
        <x:v>PBI-13-S2</x:v>
      </x:c>
      <x:c r="B13" s="253" t="str">
        <x:v>AC-13-S2</x:v>
      </x:c>
      <x:c r="C13" s="253" t="str">
        <x:v>林粲涵</x:v>
      </x:c>
      <x:c r="D13" s="299" t="n">
        <x:v>3</x:v>
      </x:c>
      <x:c r="E13" s="299" t="n">
        <x:v>2</x:v>
      </x:c>
      <x:c r="F13" s="299" t="n">
        <x:f>COUNTA($B$17)+COUNTA($B$62)+COUNTA($B$63)+COUNTA($B$64)</x:f>
        <x:v>4</x:v>
      </x:c>
      <x:c r="G13" s="299" t="n">
        <x:f>COUNTIF($H$17,"通过")+COUNTIF($H$62,"通过")+COUNTIF($H$63,"通过")+COUNTIF($H$64,"通过")</x:f>
        <x:v>0</x:v>
      </x:c>
      <x:c r="H13" s="253" t="str">
        <x:f>IF((COUNTIF($H$17,"阻塞")+COUNTIF($H$62,"阻塞")+COUNTIF($H$63,"阻塞")+COUNTIF($H$64,"阻塞"))&gt;0,"阻塞",IF((COUNTIF($H$17,"失败")+COUNTIF($H$62,"失败")+COUNTIF($H$63,"失败")+COUNTIF($H$64,"失败"))&gt;0,"失败",IF(AND(F13&gt;0,G13=F13),"通过","待验收")))</x:f>
        <x:v>待验收</x:v>
      </x:c>
    </x:row>
    <x:row r="15" ht="24" customHeight="1">
      <x:c r="A15" s="216" t="inlineStr">
        <x:is>
          <x:t xml:space="preserve">用户场景 → PBI/AC → Task → 必要证据 → 当前证据 → 验收状态</x:t>
        </x:is>
      </x:c>
      <x:c r="B15" s="213" t="n"/>
      <x:c r="C15" s="213" t="n"/>
      <x:c r="D15" s="213" t="n"/>
      <x:c r="E15" s="213" t="n"/>
      <x:c r="F15" s="213" t="n"/>
      <x:c r="G15" s="213" t="n"/>
      <x:c r="H15" s="213" t="n"/>
      <x:c r="I15" s="213" t="n"/>
      <x:c r="J15" s="213" t="n"/>
      <x:c r="K15" s="214" t="n"/>
    </x:row>
    <x:row r="16" ht="32" customHeight="1">
      <x:c r="A16" s="252" t="str">
        <x:v>证据编号</x:v>
      </x:c>
      <x:c r="B16" s="252" t="str">
        <x:v>场景编号</x:v>
      </x:c>
      <x:c r="C16" s="252" t="str">
        <x:v>用户场景/目标</x:v>
      </x:c>
      <x:c r="D16" s="252" t="str">
        <x:v>关联 PBI/AC</x:v>
      </x:c>
      <x:c r="E16" s="252" t="str">
        <x:v>关联 Task</x:v>
      </x:c>
      <x:c r="F16" s="252" t="str">
        <x:v>本条必须保留的证据</x:v>
      </x:c>
      <x:c r="G16" s="252" t="str">
        <x:v>当前只读证据（不等于通过）</x:v>
      </x:c>
      <x:c r="H16" s="252" t="str">
        <x:v>验收状态</x:v>
      </x:c>
      <x:c r="I16" s="252" t="str">
        <x:v>验收日期</x:v>
      </x:c>
      <x:c r="J16" s="252" t="str">
        <x:v>执行人</x:v>
      </x:c>
      <x:c r="K16" s="252" t="str">
        <x:v>来源/说明</x:v>
      </x:c>
    </x:row>
    <x:row r="17" ht="80" customHeight="1">
      <x:c r="A17" s="292" t="str">
        <x:v>EV-S2-001</x:v>
      </x:c>
      <x:c r="B17" s="292" t="str">
        <x:v>UAT-S2-001</x:v>
      </x:c>
      <x:c r="C17" s="293" t="str">
        <x:v>完成“90 秒对话规划 + 现实执行闭环”。</x:v>
      </x:c>
      <x:c r="D17" s="293" t="str">
        <x:v>PBI-07-A / PBI-08-A / PBI-09-A / PBI-10-A / PBI-11-A / PBI-11-B / PBI-12-A / PBI-13-S2</x:v>
      </x:c>
      <x:c r="E17" s="293" t="str">
        <x:v>S2-T001~T024</x:v>
      </x:c>
      <x:c r="F17" s="293" t="str">
        <x:v>全程计时录屏+关键节点截图+UAT 状态记录。</x:v>
      </x:c>
      <x:c r="G17" s="293" t="str">
        <x:v>README 的 Sprint2 能力仍未签收；2026-08-26 11:55 +08:00 只读探测：Web 首页/工作区 404，API /health 超时。暂无 LLM+S2 完整用户录屏。</x:v>
      </x:c>
      <x:c r="H17" s="292" t="str">
        <x:f>'用户功能验收清单'!M7</x:f>
        <x:v>未执行</x:v>
      </x:c>
      <x:c r="I17" s="294" t="str">
        <x:f>IF('用户功能验收清单'!N7="","",'用户功能验收清单'!N7)</x:f>
      </x:c>
      <x:c r="J17" s="292" t="str">
        <x:v>全员</x:v>
      </x:c>
      <x:c r="K17" s="293" t="str">
        <x:v>Sprint2 LLM 混合架构修订：S2-T001~T024</x:v>
      </x:c>
    </x:row>
    <x:row r="18" ht="80" customHeight="1">
      <x:c r="A18" s="292" t="str">
        <x:v>EV-S2-002</x:v>
      </x:c>
      <x:c r="B18" s="292" t="str">
        <x:v>UAT-S2-002</x:v>
      </x:c>
      <x:c r="C18" s="293" t="str">
        <x:v>用一句自然语言告诉 Agent 完整旅行需求。</x:v>
      </x:c>
      <x:c r="D18" s="293" t="str">
        <x:v>PBI-07-A / AC-07-A</x:v>
      </x:c>
      <x:c r="E18" s="293" t="str">
        <x:v>S2-T001,S2-T002,S2-T004</x:v>
      </x:c>
      <x:c r="F18" s="293" t="str">
        <x:v>原文+草稿+字段证据截图；调用 Trace 脱敏记录。</x:v>
      </x:c>
      <x:c r="G18" s="293" t="str">
        <x:v>当前 TripDraftParserService 是规则/正则解析；无 LLM gateway、配置或运行时；PlannerPage 是 textarea+结构化表单，不是对话组件。</x:v>
      </x:c>
      <x:c r="H18" s="292" t="str">
        <x:f>'用户功能验收清单'!M8</x:f>
        <x:v>未执行</x:v>
      </x:c>
      <x:c r="I18" s="294" t="str">
        <x:f>IF('用户功能验收清单'!N8="","",'用户功能验收清单'!N8)</x:f>
      </x:c>
      <x:c r="J18" s="292" t="str">
        <x:v>陈梓元</x:v>
      </x:c>
      <x:c r="K18" s="293" t="str">
        <x:v>Sprint2 LLM 混合架构修订：S2-T001,S2-T002,S2-T004</x:v>
      </x:c>
    </x:row>
    <x:row r="19" ht="80" customHeight="1">
      <x:c r="A19" s="292" t="str">
        <x:v>EV-S2-003</x:v>
      </x:c>
      <x:c r="B19" s="292" t="str">
        <x:v>UAT-S2-003</x:v>
      </x:c>
      <x:c r="C19" s="293" t="str">
        <x:v>缺少必要信息时由预设问题逐项引导补齐。</x:v>
      </x:c>
      <x:c r="D19" s="293" t="str">
        <x:v>PBI-07-A / AC-07-A</x:v>
      </x:c>
      <x:c r="E19" s="293" t="str">
        <x:v>S2-T001,S2-T002,S2-T003</x:v>
      </x:c>
      <x:c r="F19" s="293" t="str">
        <x:v>缺项前后录屏；问题 key/答案/确认卡截图。</x:v>
      </x:c>
      <x:c r="G19" s="293" t="str">
        <x:v>当前 TripDraftParserService 是规则/正则解析；无 LLM gateway、配置或运行时；PlannerPage 是 textarea+结构化表单，不是对话组件。</x:v>
      </x:c>
      <x:c r="H19" s="292" t="str">
        <x:f>'用户功能验收清单'!M9</x:f>
        <x:v>未执行</x:v>
      </x:c>
      <x:c r="I19" s="294" t="str">
        <x:f>IF('用户功能验收清单'!N9="","",'用户功能验收清单'!N9)</x:f>
      </x:c>
      <x:c r="J19" s="292" t="str">
        <x:v>陈梓元</x:v>
      </x:c>
      <x:c r="K19" s="293" t="str">
        <x:v>Sprint2 LLM 混合架构修订：S2-T001,S2-T002,S2-T003</x:v>
      </x:c>
    </x:row>
    <x:row r="20" ht="80" customHeight="1">
      <x:c r="A20" s="292" t="str">
        <x:v>EV-S2-004</x:v>
      </x:c>
      <x:c r="B20" s="292" t="str">
        <x:v>UAT-S2-004</x:v>
      </x:c>
      <x:c r="C20" s="293" t="str">
        <x:v>歧义信息不被模型擅自猜测。</x:v>
      </x:c>
      <x:c r="D20" s="293" t="str">
        <x:v>PBI-07-A / AC-07-A</x:v>
      </x:c>
      <x:c r="E20" s="293" t="str">
        <x:v>S2-T001,S2-T003,S2-T004</x:v>
      </x:c>
      <x:c r="F20" s="293" t="str">
        <x:v>歧义截图+选择前后草稿对比。</x:v>
      </x:c>
      <x:c r="G20" s="293" t="str">
        <x:v>当前 TripDraftParserService 是规则/正则解析；无 LLM gateway、配置或运行时；PlannerPage 是 textarea+结构化表单，不是对话组件。</x:v>
      </x:c>
      <x:c r="H20" s="292" t="str">
        <x:f>'用户功能验收清单'!M10</x:f>
        <x:v>未执行</x:v>
      </x:c>
      <x:c r="I20" s="294" t="str">
        <x:f>IF('用户功能验收清单'!N10="","",'用户功能验收清单'!N10)</x:f>
      </x:c>
      <x:c r="J20" s="292" t="str">
        <x:v>陈梓元</x:v>
      </x:c>
      <x:c r="K20" s="293" t="str">
        <x:v>Sprint2 LLM 混合架构修订：S2-T001,S2-T003,S2-T004</x:v>
      </x:c>
    </x:row>
    <x:row r="21" ht="80" customHeight="1">
      <x:c r="A21" s="292" t="str">
        <x:v>EV-S2-005</x:v>
      </x:c>
      <x:c r="B21" s="292" t="str">
        <x:v>UAT-S2-005</x:v>
      </x:c>
      <x:c r="C21" s="293" t="str">
        <x:v>互相冲突的旅行条件被指出并阻止规划。</x:v>
      </x:c>
      <x:c r="D21" s="293" t="str">
        <x:v>PBI-07-A / AC-07-A</x:v>
      </x:c>
      <x:c r="E21" s="293" t="str">
        <x:v>S2-T003,S2-T004</x:v>
      </x:c>
      <x:c r="F21" s="293" t="str">
        <x:v>冲突截图+阻断记录+修正后截图。</x:v>
      </x:c>
      <x:c r="G21" s="293" t="str">
        <x:v>当前 TripDraftParserService 是规则/正则解析；无 LLM gateway、配置或运行时；PlannerPage 是 textarea+结构化表单，不是对话组件。</x:v>
      </x:c>
      <x:c r="H21" s="292" t="str">
        <x:f>'用户功能验收清单'!M11</x:f>
        <x:v>未执行</x:v>
      </x:c>
      <x:c r="I21" s="294" t="str">
        <x:f>IF('用户功能验收清单'!N11="","",'用户功能验收清单'!N11)</x:f>
      </x:c>
      <x:c r="J21" s="292" t="str">
        <x:v>陈梓元</x:v>
      </x:c>
      <x:c r="K21" s="293" t="str">
        <x:v>Sprint2 LLM 混合架构修订：S2-T003,S2-T004</x:v>
      </x:c>
    </x:row>
    <x:row r="22" ht="80" customHeight="1">
      <x:c r="A22" s="292" t="str">
        <x:v>EV-S2-006</x:v>
      </x:c>
      <x:c r="B22" s="292" t="str">
        <x:v>UAT-S2-006</x:v>
      </x:c>
      <x:c r="C22" s="293" t="str">
        <x:v>LLM 返回非 JSON 或 Schema 错误时仍能继续。</x:v>
      </x:c>
      <x:c r="D22" s="293" t="str">
        <x:v>PBI-07-A / AC-07-A</x:v>
      </x:c>
      <x:c r="E22" s="293" t="str">
        <x:v>S2-T001,S2-T004</x:v>
      </x:c>
      <x:c r="F22" s="293" t="str">
        <x:v>故障录屏+降级提示+保留原文截图。</x:v>
      </x:c>
      <x:c r="G22" s="293" t="str">
        <x:v>当前 TripDraftParserService 是规则/正则解析；无 LLM gateway、配置或运行时；PlannerPage 是 textarea+结构化表单，不是对话组件。</x:v>
      </x:c>
      <x:c r="H22" s="292" t="str">
        <x:f>'用户功能验收清单'!M12</x:f>
        <x:v>未执行</x:v>
      </x:c>
      <x:c r="I22" s="294" t="str">
        <x:f>IF('用户功能验收清单'!N12="","",'用户功能验收清单'!N12)</x:f>
      </x:c>
      <x:c r="J22" s="292" t="str">
        <x:v>陈梓元</x:v>
      </x:c>
      <x:c r="K22" s="293" t="str">
        <x:v>Sprint2 LLM 混合架构修订：S2-T001,S2-T004</x:v>
      </x:c>
    </x:row>
    <x:row r="23" ht="80" customHeight="1">
      <x:c r="A23" s="292" t="str">
        <x:v>EV-S2-007</x:v>
      </x:c>
      <x:c r="B23" s="292" t="str">
        <x:v>UAT-S2-007</x:v>
      </x:c>
      <x:c r="C23" s="293" t="str">
        <x:v>LLM 超时、未启用或 Key 缺失时应用可用。</x:v>
      </x:c>
      <x:c r="D23" s="293" t="str">
        <x:v>PBI-07-A / AC-07-A</x:v>
      </x:c>
      <x:c r="E23" s="293" t="str">
        <x:v>S2-T004</x:v>
      </x:c>
      <x:c r="F23" s="293" t="str">
        <x:v>计时录屏+安全日志摘要。</x:v>
      </x:c>
      <x:c r="G23" s="293" t="str">
        <x:v>当前 TripDraftParserService 是规则/正则解析；无 LLM gateway、配置或运行时；PlannerPage 是 textarea+结构化表单，不是对话组件。</x:v>
      </x:c>
      <x:c r="H23" s="292" t="str">
        <x:f>'用户功能验收清单'!M13</x:f>
        <x:v>未执行</x:v>
      </x:c>
      <x:c r="I23" s="294" t="str">
        <x:f>IF('用户功能验收清单'!N13="","",'用户功能验收清单'!N13)</x:f>
      </x:c>
      <x:c r="J23" s="292" t="str">
        <x:v>陈梓元</x:v>
      </x:c>
      <x:c r="K23" s="293" t="str">
        <x:v>Sprint2 LLM 混合架构修订：S2-T004</x:v>
      </x:c>
    </x:row>
    <x:row r="24" ht="80" customHeight="1">
      <x:c r="A24" s="292" t="str">
        <x:v>EV-S2-008</x:v>
      </x:c>
      <x:c r="B24" s="292" t="str">
        <x:v>UAT-S2-008</x:v>
      </x:c>
      <x:c r="C24" s="293" t="str">
        <x:v>通过固定入口选择普通/亲子/低体力/行动辅助。</x:v>
      </x:c>
      <x:c r="D24" s="293" t="str">
        <x:v>PBI-07-A / AC-07-A</x:v>
      </x:c>
      <x:c r="E24" s="293" t="str">
        <x:v>S2-T002,S2-T004</x:v>
      </x:c>
      <x:c r="F24" s="293" t="str">
        <x:v>四类预设截图+选择前后确认卡。</x:v>
      </x:c>
      <x:c r="G24" s="293" t="str">
        <x:v>四类 AssistanceProfile preset、DRAFT/CONSTRAINT_CONFIRMED 与确定性 compiler 已存在；自然语言关怀理解尚未接入运行时。</x:v>
      </x:c>
      <x:c r="H24" s="292" t="str">
        <x:f>'用户功能验收清单'!M14</x:f>
        <x:v>未执行</x:v>
      </x:c>
      <x:c r="I24" s="294" t="str">
        <x:f>IF('用户功能验收清单'!N14="","",'用户功能验收清单'!N14)</x:f>
      </x:c>
      <x:c r="J24" s="292" t="str">
        <x:v>陈梓元</x:v>
      </x:c>
      <x:c r="K24" s="293" t="str">
        <x:v>Sprint2 LLM 混合架构修订：S2-T002,S2-T004</x:v>
      </x:c>
    </x:row>
    <x:row r="25" ht="80" customHeight="1">
      <x:c r="A25" s="292" t="str">
        <x:v>EV-S2-009</x:v>
      </x:c>
      <x:c r="B25" s="292" t="str">
        <x:v>UAT-S2-009</x:v>
      </x:c>
      <x:c r="C25" s="293" t="str">
        <x:v>口语关怀被理解并用易懂语言复述。</x:v>
      </x:c>
      <x:c r="D25" s="293" t="str">
        <x:v>PBI-07-A / AC-07-A</x:v>
      </x:c>
      <x:c r="E25" s="293" t="str">
        <x:v>S2-T001,S2-T002,S2-T004</x:v>
      </x:c>
      <x:c r="F25" s="293" t="str">
        <x:v>原话+总结+字段证据截图。</x:v>
      </x:c>
      <x:c r="G25" s="293" t="str">
        <x:v>四类 AssistanceProfile preset、DRAFT/CONSTRAINT_CONFIRMED 与确定性 compiler 已存在；自然语言关怀理解尚未接入运行时。</x:v>
      </x:c>
      <x:c r="H25" s="292" t="str">
        <x:f>'用户功能验收清单'!M15</x:f>
        <x:v>未执行</x:v>
      </x:c>
      <x:c r="I25" s="294" t="str">
        <x:f>IF('用户功能验收清单'!N15="","",'用户功能验收清单'!N15)</x:f>
      </x:c>
      <x:c r="J25" s="292" t="str">
        <x:v>陈梓元</x:v>
      </x:c>
      <x:c r="K25" s="293" t="str">
        <x:v>Sprint2 LLM 混合架构修订：S2-T001,S2-T002,S2-T004</x:v>
      </x:c>
    </x:row>
    <x:row r="26" ht="80" customHeight="1">
      <x:c r="A26" s="292" t="str">
        <x:v>EV-S2-010</x:v>
      </x:c>
      <x:c r="B26" s="292" t="str">
        <x:v>UAT-S2-010</x:v>
      </x:c>
      <x:c r="C26" s="293" t="str">
        <x:v>关键关怀字段可见、可编辑、可判定。</x:v>
      </x:c>
      <x:c r="D26" s="293" t="str">
        <x:v>PBI-07-A / AC-07-A</x:v>
      </x:c>
      <x:c r="E26" s="293" t="str">
        <x:v>S2-T002,S2-T003</x:v>
      </x:c>
      <x:c r="F26" s="293" t="str">
        <x:v>字段截图+非法值提示。</x:v>
      </x:c>
      <x:c r="G26" s="293" t="str">
        <x:v>四类 AssistanceProfile preset、DRAFT/CONSTRAINT_CONFIRMED 与确定性 compiler 已存在；自然语言关怀理解尚未接入运行时。</x:v>
      </x:c>
      <x:c r="H26" s="292" t="str">
        <x:f>'用户功能验收清单'!M16</x:f>
        <x:v>未执行</x:v>
      </x:c>
      <x:c r="I26" s="294" t="str">
        <x:f>IF('用户功能验收清单'!N16="","",'用户功能验收清单'!N16)</x:f>
      </x:c>
      <x:c r="J26" s="292" t="str">
        <x:v>陈梓元</x:v>
      </x:c>
      <x:c r="K26" s="293" t="str">
        <x:v>Sprint2 LLM 混合架构修订：S2-T002,S2-T003</x:v>
      </x:c>
    </x:row>
    <x:row r="27" ht="80" customHeight="1">
      <x:c r="A27" s="292" t="str">
        <x:v>EV-S2-011</x:v>
      </x:c>
      <x:c r="B27" s="292" t="str">
        <x:v>UAT-S2-011</x:v>
      </x:c>
      <x:c r="C27" s="293" t="str">
        <x:v>确认后修改关键字段会退回待确认。</x:v>
      </x:c>
      <x:c r="D27" s="293" t="str">
        <x:v>PBI-07-A / AC-07-A</x:v>
      </x:c>
      <x:c r="E27" s="293" t="str">
        <x:v>S2-T003,S2-T004</x:v>
      </x:c>
      <x:c r="F27" s="293" t="str">
        <x:v>修改前后状态截图+阻断录屏。</x:v>
      </x:c>
      <x:c r="G27" s="293" t="str">
        <x:v>四类 AssistanceProfile preset、DRAFT/CONSTRAINT_CONFIRMED 与确定性 compiler 已存在；自然语言关怀理解尚未接入运行时。</x:v>
      </x:c>
      <x:c r="H27" s="292" t="str">
        <x:f>'用户功能验收清单'!M17</x:f>
        <x:v>未执行</x:v>
      </x:c>
      <x:c r="I27" s="294" t="str">
        <x:f>IF('用户功能验收清单'!N17="","",'用户功能验收清单'!N17)</x:f>
      </x:c>
      <x:c r="J27" s="292" t="str">
        <x:v>陈梓元</x:v>
      </x:c>
      <x:c r="K27" s="293" t="str">
        <x:v>Sprint2 LLM 混合架构修订：S2-T003,S2-T004</x:v>
      </x:c>
    </x:row>
    <x:row r="28" ht="80" customHeight="1">
      <x:c r="A28" s="292" t="str">
        <x:v>EV-S2-012</x:v>
      </x:c>
      <x:c r="B28" s="292" t="str">
        <x:v>UAT-S2-012</x:v>
      </x:c>
      <x:c r="C28" s="293" t="str">
        <x:v>明确确认后由程序编译确定性 Constraint。</x:v>
      </x:c>
      <x:c r="D28" s="293" t="str">
        <x:v>PBI-07-A / AC-07-A</x:v>
      </x:c>
      <x:c r="E28" s="293" t="str">
        <x:v>S2-T003,S2-T004</x:v>
      </x:c>
      <x:c r="F28" s="293" t="str">
        <x:v>确认录屏+约束摘要+canonical 比较记录。</x:v>
      </x:c>
      <x:c r="G28" s="293" t="str">
        <x:v>四类 AssistanceProfile preset、DRAFT/CONSTRAINT_CONFIRMED 与确定性 compiler 已存在；自然语言关怀理解尚未接入运行时。</x:v>
      </x:c>
      <x:c r="H28" s="292" t="str">
        <x:f>'用户功能验收清单'!M18</x:f>
        <x:v>未执行</x:v>
      </x:c>
      <x:c r="I28" s="294" t="str">
        <x:f>IF('用户功能验收清单'!N18="","",'用户功能验收清单'!N18)</x:f>
      </x:c>
      <x:c r="J28" s="292" t="str">
        <x:v>陈梓元</x:v>
      </x:c>
      <x:c r="K28" s="293" t="str">
        <x:v>Sprint2 LLM 混合架构修订：S2-T003,S2-T004</x:v>
      </x:c>
    </x:row>
    <x:row r="29" ht="80" customHeight="1">
      <x:c r="A29" s="292" t="str">
        <x:v>EV-S2-013</x:v>
      </x:c>
      <x:c r="B29" s="292" t="str">
        <x:v>UAT-S2-013</x:v>
      </x:c>
      <x:c r="C29" s="293" t="str">
        <x:v>规划只使用有来源的真实 Provider 候选。</x:v>
      </x:c>
      <x:c r="D29" s="293" t="str">
        <x:v>PBI-08-A / AC-08-A</x:v>
      </x:c>
      <x:c r="E29" s="293" t="str">
        <x:v>S2-T009</x:v>
      </x:c>
      <x:c r="F29" s="293" t="str">
        <x:v>候选列表截图+FactRef/digest 摘要。</x:v>
      </x:c>
      <x:c r="G29" s="293" t="str">
        <x:v>当前 planner 只支持单人和一个确定性候选；没有多人 satisfaction/max-min；规划接口尚未用 server-issued FactRef 绑定 Provider 事实。</x:v>
      </x:c>
      <x:c r="H29" s="292" t="str">
        <x:f>'用户功能验收清单'!M19</x:f>
        <x:v>未执行</x:v>
      </x:c>
      <x:c r="I29" s="294" t="str">
        <x:f>IF('用户功能验收清单'!N19="","",'用户功能验收清单'!N19)</x:f>
      </x:c>
      <x:c r="J29" s="292" t="str">
        <x:v>张琪</x:v>
      </x:c>
      <x:c r="K29" s="293" t="str">
        <x:v>Sprint2 LLM 混合架构修订：S2-T009</x:v>
      </x:c>
    </x:row>
    <x:row r="30" ht="80" customHeight="1">
      <x:c r="A30" s="292" t="str">
        <x:v>EV-S2-014</x:v>
      </x:c>
      <x:c r="B30" s="292" t="str">
        <x:v>UAT-S2-014</x:v>
      </x:c>
      <x:c r="C30" s="293" t="str">
        <x:v>LLM 只从候选白名单中提议地点和顺序。</x:v>
      </x:c>
      <x:c r="D30" s="293" t="str">
        <x:v>PBI-08-A / AC-08-A</x:v>
      </x:c>
      <x:c r="E30" s="293" t="str">
        <x:v>S2-T009</x:v>
      </x:c>
      <x:c r="F30" s="293" t="str">
        <x:v>请求/响应脱敏快照+白名单对照。</x:v>
      </x:c>
      <x:c r="G30" s="293" t="str">
        <x:v>当前 planner 只支持单人和一个确定性候选；没有多人 satisfaction/max-min；规划接口尚未用 server-issued FactRef 绑定 Provider 事实。</x:v>
      </x:c>
      <x:c r="H30" s="292" t="str">
        <x:f>'用户功能验收清单'!M20</x:f>
        <x:v>未执行</x:v>
      </x:c>
      <x:c r="I30" s="294" t="str">
        <x:f>IF('用户功能验收清单'!N20="","",'用户功能验收清单'!N20)</x:f>
      </x:c>
      <x:c r="J30" s="292" t="str">
        <x:v>张琪</x:v>
      </x:c>
      <x:c r="K30" s="293" t="str">
        <x:v>Sprint2 LLM 混合架构修订：S2-T009</x:v>
      </x:c>
    </x:row>
    <x:row r="31" ht="80" customHeight="1">
      <x:c r="A31" s="292" t="str">
        <x:v>EV-S2-015</x:v>
      </x:c>
      <x:c r="B31" s="292" t="str">
        <x:v>UAT-S2-015</x:v>
      </x:c>
      <x:c r="C31" s="293" t="str">
        <x:v>越界、重复或 extra 字段的模型输出被拒绝。</x:v>
      </x:c>
      <x:c r="D31" s="293" t="str">
        <x:v>PBI-08-A / AC-08-A</x:v>
      </x:c>
      <x:c r="E31" s="293" t="str">
        <x:v>S2-T009</x:v>
      </x:c>
      <x:c r="F31" s="293" t="str">
        <x:v>故障响应+拒绝 Trace+最终方案来源截图。</x:v>
      </x:c>
      <x:c r="G31" s="293" t="str">
        <x:v>当前 planner 只支持单人和一个确定性候选；没有多人 satisfaction/max-min；规划接口尚未用 server-issued FactRef 绑定 Provider 事实。</x:v>
      </x:c>
      <x:c r="H31" s="292" t="str">
        <x:f>'用户功能验收清单'!M21</x:f>
        <x:v>未执行</x:v>
      </x:c>
      <x:c r="I31" s="294" t="str">
        <x:f>IF('用户功能验收清单'!N21="","",'用户功能验收清单'!N21)</x:f>
      </x:c>
      <x:c r="J31" s="292" t="str">
        <x:v>张琪</x:v>
      </x:c>
      <x:c r="K31" s="293" t="str">
        <x:v>Sprint2 LLM 混合架构修订：S2-T009</x:v>
      </x:c>
    </x:row>
    <x:row r="32" ht="80" customHeight="1">
      <x:c r="A32" s="292" t="str">
        <x:v>EV-S2-016</x:v>
      </x:c>
      <x:c r="B32" s="292" t="str">
        <x:v>UAT-S2-016</x:v>
      </x:c>
      <x:c r="C32" s="293" t="str">
        <x:v>未知费用/设施不按 0 元或已具备处理。</x:v>
      </x:c>
      <x:c r="D32" s="293" t="str">
        <x:v>PBI-08-A / AC-08-A</x:v>
      </x:c>
      <x:c r="E32" s="293" t="str">
        <x:v>S2-T008,S2-T009,S2-T010</x:v>
      </x:c>
      <x:c r="F32" s="293" t="str">
        <x:v>未知事实截图+费用计算记录。</x:v>
      </x:c>
      <x:c r="G32" s="293" t="str">
        <x:v>当前 planner 只支持单人和一个确定性候选；没有多人 satisfaction/max-min；规划接口尚未用 server-issued FactRef 绑定 Provider 事实。</x:v>
      </x:c>
      <x:c r="H32" s="292" t="str">
        <x:f>'用户功能验收清单'!M22</x:f>
        <x:v>未执行</x:v>
      </x:c>
      <x:c r="I32" s="294" t="str">
        <x:f>IF('用户功能验收清单'!N22="","",'用户功能验收清单'!N22)</x:f>
      </x:c>
      <x:c r="J32" s="292" t="str">
        <x:v>王敬博</x:v>
      </x:c>
      <x:c r="K32" s="293" t="str">
        <x:v>Sprint2 LLM 混合架构修订：S2-T008,S2-T009,S2-T010</x:v>
      </x:c>
    </x:row>
    <x:row r="33" ht="80" customHeight="1">
      <x:c r="A33" s="292" t="str">
        <x:v>EV-S2-017</x:v>
      </x:c>
      <x:c r="B33" s="292" t="str">
        <x:v>UAT-S2-017</x:v>
      </x:c>
      <x:c r="C33" s="293" t="str">
        <x:v>硬约束失败候选不参与公平排序。</x:v>
      </x:c>
      <x:c r="D33" s="293" t="str">
        <x:v>PBI-08-A / AC-08-A</x:v>
      </x:c>
      <x:c r="E33" s="293" t="str">
        <x:v>S2-T003,S2-T008,S2-T009</x:v>
      </x:c>
      <x:c r="F33" s="293" t="str">
        <x:v>淘汰原因截图+零持久化记录。</x:v>
      </x:c>
      <x:c r="G33" s="293" t="str">
        <x:v>当前 planner 只支持单人和一个确定性候选；没有多人 satisfaction/max-min；规划接口尚未用 server-issued FactRef 绑定 Provider 事实。</x:v>
      </x:c>
      <x:c r="H33" s="292" t="str">
        <x:f>'用户功能验收清单'!M23</x:f>
        <x:v>未执行</x:v>
      </x:c>
      <x:c r="I33" s="294" t="str">
        <x:f>IF('用户功能验收清单'!N23="","",'用户功能验收清单'!N23)</x:f>
      </x:c>
      <x:c r="J33" s="292" t="str">
        <x:v>王敬博</x:v>
      </x:c>
      <x:c r="K33" s="293" t="str">
        <x:v>Sprint2 LLM 混合架构修订：S2-T003,S2-T008,S2-T009</x:v>
      </x:c>
    </x:row>
    <x:row r="34" ht="80" customHeight="1">
      <x:c r="A34" s="292" t="str">
        <x:v>EV-S2-018</x:v>
      </x:c>
      <x:c r="B34" s="292" t="str">
        <x:v>UAT-S2-018</x:v>
      </x:c>
      <x:c r="C34" s="293" t="str">
        <x:v>每位成员看到 0—100 满意度与扣分解释。</x:v>
      </x:c>
      <x:c r="D34" s="293" t="str">
        <x:v>PBI-08-A / AC-08-A</x:v>
      </x:c>
      <x:c r="E34" s="293" t="str">
        <x:v>S2-T007,S2-T010</x:v>
      </x:c>
      <x:c r="F34" s="293" t="str">
        <x:v>分数/扣分截图+评分记录。</x:v>
      </x:c>
      <x:c r="G34" s="293" t="str">
        <x:v>当前 planner 只支持单人和一个确定性候选；没有多人 satisfaction/max-min；规划接口尚未用 server-issued FactRef 绑定 Provider 事实。</x:v>
      </x:c>
      <x:c r="H34" s="292" t="str">
        <x:f>'用户功能验收清单'!M24</x:f>
        <x:v>未执行</x:v>
      </x:c>
      <x:c r="I34" s="294" t="str">
        <x:f>IF('用户功能验收清单'!N24="","",'用户功能验收清单'!N24)</x:f>
      </x:c>
      <x:c r="J34" s="292" t="str">
        <x:v>王敬博</x:v>
      </x:c>
      <x:c r="K34" s="293" t="str">
        <x:v>Sprint2 LLM 混合架构修订：S2-T007,S2-T010</x:v>
      </x:c>
    </x:row>
    <x:row r="35" ht="80" customHeight="1">
      <x:c r="A35" s="292" t="str">
        <x:v>EV-S2-019</x:v>
      </x:c>
      <x:c r="B35" s="292" t="str">
        <x:v>UAT-S2-019</x:v>
      </x:c>
      <x:c r="C35" s="293" t="str">
        <x:v>按 max-min 公平规则得到唯一推荐。</x:v>
      </x:c>
      <x:c r="D35" s="293" t="str">
        <x:v>PBI-08-A / AC-08-A</x:v>
      </x:c>
      <x:c r="E35" s="293" t="str">
        <x:v>S2-T007,S2-T008,S2-T010</x:v>
      </x:c>
      <x:c r="F35" s="293" t="str">
        <x:v>候选分数表+排序结果+重复运行截图。</x:v>
      </x:c>
      <x:c r="G35" s="293" t="str">
        <x:v>当前 planner 只支持单人和一个确定性候选；没有多人 satisfaction/max-min；规划接口尚未用 server-issued FactRef 绑定 Provider 事实。</x:v>
      </x:c>
      <x:c r="H35" s="292" t="str">
        <x:f>'用户功能验收清单'!M25</x:f>
        <x:v>未执行</x:v>
      </x:c>
      <x:c r="I35" s="294" t="str">
        <x:f>IF('用户功能验收清单'!N25="","",'用户功能验收清单'!N25)</x:f>
      </x:c>
      <x:c r="J35" s="292" t="str">
        <x:v>王敬博</x:v>
      </x:c>
      <x:c r="K35" s="293" t="str">
        <x:v>Sprint2 LLM 混合架构修订：S2-T007,S2-T008,S2-T010</x:v>
      </x:c>
    </x:row>
    <x:row r="36" ht="80" customHeight="1">
      <x:c r="A36" s="292" t="str">
        <x:v>EV-S2-020</x:v>
      </x:c>
      <x:c r="B36" s="292" t="str">
        <x:v>UAT-S2-020</x:v>
      </x:c>
      <x:c r="C36" s="293" t="str">
        <x:v>获得唯一 3—4 任务方案并由用户确认 Plan V1。</x:v>
      </x:c>
      <x:c r="D36" s="293" t="str">
        <x:v>PBI-08-A / PBI-11-A</x:v>
      </x:c>
      <x:c r="E36" s="293" t="str">
        <x:v>S2-T008,S2-T009,S2-T010,S2-T005</x:v>
      </x:c>
      <x:c r="F36" s="293" t="str">
        <x:v>方案前后截图+状态日志+解释失败截图。</x:v>
      </x:c>
      <x:c r="G36" s="293" t="str">
        <x:v>当前 planner 只支持单人和一个确定性候选；没有多人 satisfaction/max-min；规划接口尚未用 server-issued FactRef 绑定 Provider 事实。</x:v>
      </x:c>
      <x:c r="H36" s="292" t="str">
        <x:f>'用户功能验收清单'!M26</x:f>
        <x:v>未执行</x:v>
      </x:c>
      <x:c r="I36" s="294" t="str">
        <x:f>IF('用户功能验收清单'!N26="","",'用户功能验收清单'!N26)</x:f>
      </x:c>
      <x:c r="J36" s="292" t="str">
        <x:v>王敬博</x:v>
      </x:c>
      <x:c r="K36" s="293" t="str">
        <x:v>Sprint2 LLM 混合架构修订：S2-T008,S2-T009,S2-T010,S2-T005</x:v>
      </x:c>
    </x:row>
    <x:row r="37" ht="80" customHeight="1">
      <x:c r="A37" s="292" t="str">
        <x:v>EV-S2-021</x:v>
      </x:c>
      <x:c r="B37" s="292" t="str">
        <x:v>UAT-S2-021</x:v>
      </x:c>
      <x:c r="C37" s="293" t="str">
        <x:v>录入并恢复 2 张成员卡。</x:v>
      </x:c>
      <x:c r="D37" s="293" t="str">
        <x:v>PBI-07-A / AC-07-A</x:v>
      </x:c>
      <x:c r="E37" s="293" t="str">
        <x:v>S2-T001,S2-T002</x:v>
      </x:c>
      <x:c r="F37" s="293" t="str">
        <x:v>录屏+刷新前后截图。</x:v>
      </x:c>
      <x:c r="G37" s="293" t="str">
        <x:v>TripMode 仍只有 SINGLE，CreateSingleDayTrip participants max=1；2/3 人成员卡与多人硬冲突未实现。</x:v>
      </x:c>
      <x:c r="H37" s="292" t="str">
        <x:f>'用户功能验收清单'!M27</x:f>
        <x:v>未执行</x:v>
      </x:c>
      <x:c r="I37" s="294" t="str">
        <x:f>IF('用户功能验收清单'!N27="","",'用户功能验收清单'!N27)</x:f>
      </x:c>
      <x:c r="J37" s="292" t="str">
        <x:v>陈梓元</x:v>
      </x:c>
      <x:c r="K37" s="293" t="str">
        <x:v>Sprint2 LLM 混合架构修订：S2-T001,S2-T002</x:v>
      </x:c>
    </x:row>
    <x:row r="38" ht="80" customHeight="1">
      <x:c r="A38" s="292" t="str">
        <x:v>EV-S2-022</x:v>
      </x:c>
      <x:c r="B38" s="292" t="str">
        <x:v>UAT-S2-022</x:v>
      </x:c>
      <x:c r="C38" s="293" t="str">
        <x:v>录入 3 张成员卡并由组织者代表确认。</x:v>
      </x:c>
      <x:c r="D38" s="293" t="str">
        <x:v>PBI-07-A / AC-07-A</x:v>
      </x:c>
      <x:c r="E38" s="293" t="str">
        <x:v>S2-T001,S2-T002,S2-T004</x:v>
      </x:c>
      <x:c r="F38" s="293" t="str">
        <x:v>三卡+组织者确认+修改回退录屏。</x:v>
      </x:c>
      <x:c r="G38" s="293" t="str">
        <x:v>TripMode 仍只有 SINGLE，CreateSingleDayTrip participants max=1；2/3 人成员卡与多人硬冲突未实现。</x:v>
      </x:c>
      <x:c r="H38" s="292" t="str">
        <x:f>'用户功能验收清单'!M28</x:f>
        <x:v>未执行</x:v>
      </x:c>
      <x:c r="I38" s="294" t="str">
        <x:f>IF('用户功能验收清单'!N28="","",'用户功能验收清单'!N28)</x:f>
      </x:c>
      <x:c r="J38" s="292" t="str">
        <x:v>陈梓元</x:v>
      </x:c>
      <x:c r="K38" s="293" t="str">
        <x:v>Sprint2 LLM 混合架构修订：S2-T001,S2-T002,S2-T004</x:v>
      </x:c>
    </x:row>
    <x:row r="39" ht="80" customHeight="1">
      <x:c r="A39" s="292" t="str">
        <x:v>EV-S2-023</x:v>
      </x:c>
      <x:c r="B39" s="292" t="str">
        <x:v>UAT-S2-023</x:v>
      </x:c>
      <x:c r="C39" s="293" t="str">
        <x:v>硬冲突定位到成员和规则并阻止规划。</x:v>
      </x:c>
      <x:c r="D39" s="293" t="str">
        <x:v>PBI-07-A / AC-07-A</x:v>
      </x:c>
      <x:c r="E39" s="293" t="str">
        <x:v>S2-T003,S2-T004</x:v>
      </x:c>
      <x:c r="F39" s="293" t="str">
        <x:v>冲突卡+短路 Trace+屏幕录制。</x:v>
      </x:c>
      <x:c r="G39" s="293" t="str">
        <x:v>TripMode 仍只有 SINGLE，CreateSingleDayTrip participants max=1；2/3 人成员卡与多人硬冲突未实现。</x:v>
      </x:c>
      <x:c r="H39" s="292" t="str">
        <x:f>'用户功能验收清单'!M29</x:f>
        <x:v>未执行</x:v>
      </x:c>
      <x:c r="I39" s="294" t="str">
        <x:f>IF('用户功能验收清单'!N29="","",'用户功能验收清单'!N29)</x:f>
      </x:c>
      <x:c r="J39" s="292" t="str">
        <x:v>陈梓元</x:v>
      </x:c>
      <x:c r="K39" s="293" t="str">
        <x:v>Sprint2 LLM 混合架构修订：S2-T003,S2-T004</x:v>
      </x:c>
    </x:row>
    <x:row r="40" ht="80" customHeight="1">
      <x:c r="A40" s="292" t="str">
        <x:v>EV-S2-024</x:v>
      </x:c>
      <x:c r="B40" s="292" t="str">
        <x:v>UAT-S2-024</x:v>
      </x:c>
      <x:c r="C40" s="293" t="str">
        <x:v>修正冲突后可继续且旧提示消失。</x:v>
      </x:c>
      <x:c r="D40" s="293" t="str">
        <x:v>PBI-07-A / AC-07-A</x:v>
      </x:c>
      <x:c r="E40" s="293" t="str">
        <x:v>S2-T003,S2-T004</x:v>
      </x:c>
      <x:c r="F40" s="293" t="str">
        <x:v>修改前后截图+新确认记录。</x:v>
      </x:c>
      <x:c r="G40" s="293" t="str">
        <x:v>TripMode 仍只有 SINGLE，CreateSingleDayTrip participants max=1；2/3 人成员卡与多人硬冲突未实现。</x:v>
      </x:c>
      <x:c r="H40" s="292" t="str">
        <x:f>'用户功能验收清单'!M30</x:f>
        <x:v>未执行</x:v>
      </x:c>
      <x:c r="I40" s="294" t="str">
        <x:f>IF('用户功能验收清单'!N30="","",'用户功能验收清单'!N30)</x:f>
      </x:c>
      <x:c r="J40" s="292" t="str">
        <x:v>陈梓元</x:v>
      </x:c>
      <x:c r="K40" s="293" t="str">
        <x:v>Sprint2 LLM 混合架构修订：S2-T003,S2-T004</x:v>
      </x:c>
    </x:row>
    <x:row r="41" ht="80" customHeight="1">
      <x:c r="A41" s="292" t="str">
        <x:v>EV-S2-025</x:v>
      </x:c>
      <x:c r="B41" s="292" t="str">
        <x:v>UAT-S2-025</x:v>
      </x:c>
      <x:c r="C41" s="293" t="str">
        <x:v>定位精度和距离都合格时自动判附近。</x:v>
      </x:c>
      <x:c r="D41" s="293" t="str">
        <x:v>PBI-09-A / AC-09-A</x:v>
      </x:c>
      <x:c r="E41" s="293" t="str">
        <x:v>S2-T013,S2-T014,S2-T015,S2-T016</x:v>
      </x:c>
      <x:c r="F41" s="293" t="str">
        <x:v>操作录屏+结果截图+一次调用记录。</x:v>
      </x:c>
      <x:c r="G41" s="293" t="str">
        <x:v>README 中 Sprint2 GPS 未签收；不得从适配器/接口存在推断用户场景通过。</x:v>
      </x:c>
      <x:c r="H41" s="292" t="str">
        <x:f>'用户功能验收清单'!M31</x:f>
        <x:v>未执行</x:v>
      </x:c>
      <x:c r="I41" s="294" t="str">
        <x:f>IF('用户功能验收清单'!N31="","",'用户功能验收清单'!N31)</x:f>
      </x:c>
      <x:c r="J41" s="292" t="str">
        <x:v>张琪</x:v>
      </x:c>
      <x:c r="K41" s="293" t="str">
        <x:v>Sprint2 LLM 混合架构修订：S2-T013,S2-T014,S2-T015,S2-T016</x:v>
      </x:c>
    </x:row>
    <x:row r="42" ht="80" customHeight="1">
      <x:c r="A42" s="292" t="str">
        <x:v>EV-S2-026</x:v>
      </x:c>
      <x:c r="B42" s="292" t="str">
        <x:v>UAT-S2-026</x:v>
      </x:c>
      <x:c r="C42" s="293" t="str">
        <x:v>距离过远时不自动判到达。</x:v>
      </x:c>
      <x:c r="D42" s="293" t="str">
        <x:v>PBI-09-A / AC-09-A</x:v>
      </x:c>
      <x:c r="E42" s="293" t="str">
        <x:v>S2-T014,S2-T015</x:v>
      </x:c>
      <x:c r="F42" s="293" t="str">
        <x:v>过远截图+人工确认来源记录。</x:v>
      </x:c>
      <x:c r="G42" s="293" t="str">
        <x:v>README 中 Sprint2 GPS 未签收；不得从适配器/接口存在推断用户场景通过。</x:v>
      </x:c>
      <x:c r="H42" s="292" t="str">
        <x:f>'用户功能验收清单'!M32</x:f>
        <x:v>未执行</x:v>
      </x:c>
      <x:c r="I42" s="294" t="str">
        <x:f>IF('用户功能验收清单'!N32="","",'用户功能验收清单'!N32)</x:f>
      </x:c>
      <x:c r="J42" s="292" t="str">
        <x:v>张琪</x:v>
      </x:c>
      <x:c r="K42" s="293" t="str">
        <x:v>Sprint2 LLM 混合架构修订：S2-T014,S2-T015</x:v>
      </x:c>
    </x:row>
    <x:row r="43" ht="80" customHeight="1">
      <x:c r="A43" s="292" t="str">
        <x:v>EV-S2-027</x:v>
      </x:c>
      <x:c r="B43" s="292" t="str">
        <x:v>UAT-S2-027</x:v>
      </x:c>
      <x:c r="C43" s="293" t="str">
        <x:v>拒绝定位权限时可人工确认。</x:v>
      </x:c>
      <x:c r="D43" s="293" t="str">
        <x:v>PBI-09-A / AC-09-A</x:v>
      </x:c>
      <x:c r="E43" s="293" t="str">
        <x:v>S2-T013,S2-T015</x:v>
      </x:c>
      <x:c r="F43" s="293" t="str">
        <x:v>权限面板+页面结果+人工确认录屏。</x:v>
      </x:c>
      <x:c r="G43" s="293" t="str">
        <x:v>README 中 Sprint2 GPS 未签收；不得从适配器/接口存在推断用户场景通过。</x:v>
      </x:c>
      <x:c r="H43" s="292" t="str">
        <x:f>'用户功能验收清单'!M33</x:f>
        <x:v>未执行</x:v>
      </x:c>
      <x:c r="I43" s="294" t="str">
        <x:f>IF('用户功能验收清单'!N33="","",'用户功能验收清单'!N33)</x:f>
      </x:c>
      <x:c r="J43" s="292" t="str">
        <x:v>张琪</x:v>
      </x:c>
      <x:c r="K43" s="293" t="str">
        <x:v>Sprint2 LLM 混合架构修订：S2-T013,S2-T015</x:v>
      </x:c>
    </x:row>
    <x:row r="44" ht="80" customHeight="1">
      <x:c r="A44" s="292" t="str">
        <x:v>EV-S2-028</x:v>
      </x:c>
      <x:c r="B44" s="292" t="str">
        <x:v>UAT-S2-028</x:v>
      </x:c>
      <x:c r="C44" s="293" t="str">
        <x:v>定位超时后结束加载并人工回退。</x:v>
      </x:c>
      <x:c r="D44" s="293" t="str">
        <x:v>PBI-09-A / AC-09-A</x:v>
      </x:c>
      <x:c r="E44" s="293" t="str">
        <x:v>S2-T013,S2-T015</x:v>
      </x:c>
      <x:c r="F44" s="293" t="str">
        <x:v>计时录屏+超时截图。</x:v>
      </x:c>
      <x:c r="G44" s="293" t="str">
        <x:v>README 中 Sprint2 GPS 未签收；不得从适配器/接口存在推断用户场景通过。</x:v>
      </x:c>
      <x:c r="H44" s="292" t="str">
        <x:f>'用户功能验收清单'!M34</x:f>
        <x:v>未执行</x:v>
      </x:c>
      <x:c r="I44" s="294" t="str">
        <x:f>IF('用户功能验收清单'!N34="","",'用户功能验收清单'!N34)</x:f>
      </x:c>
      <x:c r="J44" s="292" t="str">
        <x:v>张琪</x:v>
      </x:c>
      <x:c r="K44" s="293" t="str">
        <x:v>Sprint2 LLM 混合架构修订：S2-T013,S2-T015</x:v>
      </x:c>
    </x:row>
    <x:row r="45" ht="80" customHeight="1">
      <x:c r="A45" s="292" t="str">
        <x:v>EV-S2-029</x:v>
      </x:c>
      <x:c r="B45" s="292" t="str">
        <x:v>UAT-S2-029</x:v>
      </x:c>
      <x:c r="C45" s="293" t="str">
        <x:v>低精度定位不自动通过。</x:v>
      </x:c>
      <x:c r="D45" s="293" t="str">
        <x:v>PBI-09-A / AC-09-A</x:v>
      </x:c>
      <x:c r="E45" s="293" t="str">
        <x:v>S2-T014,S2-T015</x:v>
      </x:c>
      <x:c r="F45" s="293" t="str">
        <x:v>低精度截图+阈值记录。</x:v>
      </x:c>
      <x:c r="G45" s="293" t="str">
        <x:v>README 中 Sprint2 GPS 未签收；不得从适配器/接口存在推断用户场景通过。</x:v>
      </x:c>
      <x:c r="H45" s="292" t="str">
        <x:f>'用户功能验收清单'!M35</x:f>
        <x:v>未执行</x:v>
      </x:c>
      <x:c r="I45" s="294" t="str">
        <x:f>IF('用户功能验收清单'!N35="","",'用户功能验收清单'!N35)</x:f>
      </x:c>
      <x:c r="J45" s="292" t="str">
        <x:v>张琪</x:v>
      </x:c>
      <x:c r="K45" s="293" t="str">
        <x:v>Sprint2 LLM 混合架构修订：S2-T014,S2-T015</x:v>
      </x:c>
    </x:row>
    <x:row r="46" ht="80" customHeight="1">
      <x:c r="A46" s="292" t="str">
        <x:v>EV-S2-030</x:v>
      </x:c>
      <x:c r="B46" s="292" t="str">
        <x:v>UAT-S2-030</x:v>
      </x:c>
      <x:c r="C46" s="293" t="str">
        <x:v>所有非自动结果可人工确认，且绝不持续跟踪。</x:v>
      </x:c>
      <x:c r="D46" s="293" t="str">
        <x:v>PBI-09-A / AC-09-A</x:v>
      </x:c>
      <x:c r="E46" s="293" t="str">
        <x:v>S2-T013,S2-T015,S2-T016</x:v>
      </x:c>
      <x:c r="F46" s="293" t="str">
        <x:v>事件截图+无持续监听+幂等录屏。</x:v>
      </x:c>
      <x:c r="G46" s="293" t="str">
        <x:v>README 中 Sprint2 GPS 未签收；不得从适配器/接口存在推断用户场景通过。</x:v>
      </x:c>
      <x:c r="H46" s="292" t="str">
        <x:f>'用户功能验收清单'!M36</x:f>
        <x:v>未执行</x:v>
      </x:c>
      <x:c r="I46" s="294" t="str">
        <x:f>IF('用户功能验收清单'!N36="","",'用户功能验收清单'!N36)</x:f>
      </x:c>
      <x:c r="J46" s="292" t="str">
        <x:v>张琪</x:v>
      </x:c>
      <x:c r="K46" s="293" t="str">
        <x:v>Sprint2 LLM 混合架构修订：S2-T013,S2-T015,S2-T016</x:v>
      </x:c>
    </x:row>
    <x:row r="47" ht="80" customHeight="1">
      <x:c r="A47" s="292" t="str">
        <x:v>EV-S2-031</x:v>
      </x:c>
      <x:c r="B47" s="292" t="str">
        <x:v>UAT-S2-031</x:v>
      </x:c>
      <x:c r="C47" s="293" t="str">
        <x:v>大图上传前压缩到 1.5MB 以下并移除 EXIF。</x:v>
      </x:c>
      <x:c r="D47" s="293" t="str">
        <x:v>PBI-10-A / AC-10-A</x:v>
      </x:c>
      <x:c r="E47" s="293" t="str">
        <x:v>S2-T011</x:v>
      </x:c>
      <x:c r="F47" s="293" t="str">
        <x:v>原图/结果样本+EXIF 检查+录屏。</x:v>
      </x:c>
      <x:c r="G47" s="293" t="str">
        <x:v>当前前端为 FileReader 内存上传和 5MB 校验；无 &lt;1.5MB 重编码、EXIF 移除、全程配额、替换或远端持久化证据。</x:v>
      </x:c>
      <x:c r="H47" s="292" t="str">
        <x:f>'用户功能验收清单'!M37</x:f>
        <x:v>未执行</x:v>
      </x:c>
      <x:c r="I47" s="294" t="str">
        <x:f>IF('用户功能验收清单'!N37="","",'用户功能验收清单'!N37)</x:f>
      </x:c>
      <x:c r="J47" s="292" t="str">
        <x:v>王敬博</x:v>
      </x:c>
      <x:c r="K47" s="293" t="str">
        <x:v>Sprint2 LLM 混合架构修订：S2-T011</x:v>
      </x:c>
    </x:row>
    <x:row r="48" ht="80" customHeight="1">
      <x:c r="A48" s="292" t="str">
        <x:v>EV-S2-032</x:v>
      </x:c>
      <x:c r="B48" s="292" t="str">
        <x:v>UAT-S2-032</x:v>
      </x:c>
      <x:c r="C48" s="293" t="str">
        <x:v>照片绑定当前任务且每站最多 1 张。</x:v>
      </x:c>
      <x:c r="D48" s="293" t="str">
        <x:v>PBI-10-A / AC-10-A</x:v>
      </x:c>
      <x:c r="E48" s="293" t="str">
        <x:v>S2-T012</x:v>
      </x:c>
      <x:c r="F48" s="293" t="str">
        <x:v>任务页截图+绑定记录+第二张行为录屏。</x:v>
      </x:c>
      <x:c r="G48" s="293" t="str">
        <x:v>当前前端为 FileReader 内存上传和 5MB 校验；无 &lt;1.5MB 重编码、EXIF 移除、全程配额、替换或远端持久化证据。</x:v>
      </x:c>
      <x:c r="H48" s="292" t="str">
        <x:f>'用户功能验收清单'!M38</x:f>
        <x:v>未执行</x:v>
      </x:c>
      <x:c r="I48" s="294" t="str">
        <x:f>IF('用户功能验收清单'!N38="","",'用户功能验收清单'!N38)</x:f>
      </x:c>
      <x:c r="J48" s="292" t="str">
        <x:v>王敬博</x:v>
      </x:c>
      <x:c r="K48" s="293" t="str">
        <x:v>Sprint2 LLM 混合架构修订：S2-T012</x:v>
      </x:c>
    </x:row>
    <x:row r="49" ht="80" customHeight="1">
      <x:c r="A49" s="292" t="str">
        <x:v>EV-S2-033</x:v>
      </x:c>
      <x:c r="B49" s="292" t="str">
        <x:v>UAT-S2-033</x:v>
      </x:c>
      <x:c r="C49" s="293" t="str">
        <x:v>全程最多 8 张，第 9 张被阻止。</x:v>
      </x:c>
      <x:c r="D49" s="293" t="str">
        <x:v>PBI-10-A / AC-10-A</x:v>
      </x:c>
      <x:c r="E49" s="293" t="str">
        <x:v>S2-T012</x:v>
      </x:c>
      <x:c r="F49" s="293" t="str">
        <x:v>8/9 张计数截图+删除后上传录屏。</x:v>
      </x:c>
      <x:c r="G49" s="293" t="str">
        <x:v>当前前端为 FileReader 内存上传和 5MB 校验；无 &lt;1.5MB 重编码、EXIF 移除、全程配额、替换或远端持久化证据。</x:v>
      </x:c>
      <x:c r="H49" s="292" t="str">
        <x:f>'用户功能验收清单'!M39</x:f>
        <x:v>未执行</x:v>
      </x:c>
      <x:c r="I49" s="294" t="str">
        <x:f>IF('用户功能验收清单'!N39="","",'用户功能验收清单'!N39)</x:f>
      </x:c>
      <x:c r="J49" s="292" t="str">
        <x:v>王敬博</x:v>
      </x:c>
      <x:c r="K49" s="293" t="str">
        <x:v>Sprint2 LLM 混合架构修订：S2-T012</x:v>
      </x:c>
    </x:row>
    <x:row r="50" ht="80" customHeight="1">
      <x:c r="A50" s="292" t="str">
        <x:v>EV-S2-034</x:v>
      </x:c>
      <x:c r="B50" s="292" t="str">
        <x:v>UAT-S2-034</x:v>
      </x:c>
      <x:c r="C50" s="293" t="str">
        <x:v>上传后可显示并在刷新后恢复。</x:v>
      </x:c>
      <x:c r="D50" s="293" t="str">
        <x:v>PBI-10-A / AC-10-A</x:v>
      </x:c>
      <x:c r="E50" s="293" t="str">
        <x:v>S2-T012</x:v>
      </x:c>
      <x:c r="F50" s="293" t="str">
        <x:v>刷新前后截图+加载/失败录屏。</x:v>
      </x:c>
      <x:c r="G50" s="293" t="str">
        <x:v>当前前端为 FileReader 内存上传和 5MB 校验；无 &lt;1.5MB 重编码、EXIF 移除、全程配额、替换或远端持久化证据。</x:v>
      </x:c>
      <x:c r="H50" s="292" t="str">
        <x:f>'用户功能验收清单'!M40</x:f>
        <x:v>未执行</x:v>
      </x:c>
      <x:c r="I50" s="294" t="str">
        <x:f>IF('用户功能验收清单'!N40="","",'用户功能验收清单'!N40)</x:f>
      </x:c>
      <x:c r="J50" s="292" t="str">
        <x:v>王敬博</x:v>
      </x:c>
      <x:c r="K50" s="293" t="str">
        <x:v>Sprint2 LLM 混合架构修订：S2-T012</x:v>
      </x:c>
    </x:row>
    <x:row r="51" ht="80" customHeight="1">
      <x:c r="A51" s="292" t="str">
        <x:v>EV-S2-035</x:v>
      </x:c>
      <x:c r="B51" s="292" t="str">
        <x:v>UAT-S2-035</x:v>
      </x:c>
      <x:c r="C51" s="293" t="str">
        <x:v>支持替换与删除，删除照片不进回忆。</x:v>
      </x:c>
      <x:c r="D51" s="293" t="str">
        <x:v>PBI-10-A / PBI-12-A</x:v>
      </x:c>
      <x:c r="E51" s="293" t="str">
        <x:v>S2-T012,S2-T017,S2-T018</x:v>
      </x:c>
      <x:c r="F51" s="293" t="str">
        <x:v>替换/删除/回忆录屏。</x:v>
      </x:c>
      <x:c r="G51" s="293" t="str">
        <x:v>当前前端为 FileReader 内存上传和 5MB 校验；无 &lt;1.5MB 重编码、EXIF 移除、全程配额、替换或远端持久化证据。</x:v>
      </x:c>
      <x:c r="H51" s="292" t="str">
        <x:f>'用户功能验收清单'!M41</x:f>
        <x:v>未执行</x:v>
      </x:c>
      <x:c r="I51" s="294" t="str">
        <x:f>IF('用户功能验收清单'!N41="","",'用户功能验收清单'!N41)</x:f>
      </x:c>
      <x:c r="J51" s="292" t="str">
        <x:v>王敬博</x:v>
      </x:c>
      <x:c r="K51" s="293" t="str">
        <x:v>Sprint2 LLM 混合架构修订：S2-T012,S2-T017,S2-T018</x:v>
      </x:c>
    </x:row>
    <x:row r="52" ht="80" customHeight="1">
      <x:c r="A52" s="292" t="str">
        <x:v>EV-S2-036</x:v>
      </x:c>
      <x:c r="B52" s="292" t="str">
        <x:v>UAT-S2-036</x:v>
      </x:c>
      <x:c r="C52" s="293" t="str">
        <x:v>压缩/上传/存储失败不阻断任务。</x:v>
      </x:c>
      <x:c r="D52" s="293" t="str">
        <x:v>PBI-10-A / AC-10-A</x:v>
      </x:c>
      <x:c r="E52" s="293" t="str">
        <x:v>S2-T011,S2-T012</x:v>
      </x:c>
      <x:c r="F52" s="293" t="str">
        <x:v>故障录屏+任务完成截图。</x:v>
      </x:c>
      <x:c r="G52" s="293" t="str">
        <x:v>当前前端为 FileReader 内存上传和 5MB 校验；无 &lt;1.5MB 重编码、EXIF 移除、全程配额、替换或远端持久化证据。</x:v>
      </x:c>
      <x:c r="H52" s="292" t="str">
        <x:f>'用户功能验收清单'!M42</x:f>
        <x:v>未执行</x:v>
      </x:c>
      <x:c r="I52" s="294" t="str">
        <x:f>IF('用户功能验收清单'!N42="","",'用户功能验收清单'!N42)</x:f>
      </x:c>
      <x:c r="J52" s="292" t="str">
        <x:v>王敬博</x:v>
      </x:c>
      <x:c r="K52" s="293" t="str">
        <x:v>Sprint2 LLM 混合架构修订：S2-T011,S2-T012</x:v>
      </x:c>
    </x:row>
    <x:row r="53" ht="80" customHeight="1">
      <x:c r="A53" s="292" t="str">
        <x:v>EV-S2-037</x:v>
      </x:c>
      <x:c r="B53" s="292" t="str">
        <x:v>UAT-S2-037</x:v>
      </x:c>
      <x:c r="C53" s="293" t="str">
        <x:v>0 张照片也能结束行程。</x:v>
      </x:c>
      <x:c r="D53" s="293" t="str">
        <x:v>PBI-10-A / PBI-12-A</x:v>
      </x:c>
      <x:c r="E53" s="293" t="str">
        <x:v>S2-T012,S2-T018</x:v>
      </x:c>
      <x:c r="F53" s="293" t="str">
        <x:v>零照片结束录屏+回忆截图。</x:v>
      </x:c>
      <x:c r="G53" s="293" t="str">
        <x:v>当前前端为 FileReader 内存上传和 5MB 校验；无 &lt;1.5MB 重编码、EXIF 移除、全程配额、替换或远端持久化证据。</x:v>
      </x:c>
      <x:c r="H53" s="292" t="str">
        <x:f>'用户功能验收清单'!M43</x:f>
        <x:v>未执行</x:v>
      </x:c>
      <x:c r="I53" s="294" t="str">
        <x:f>IF('用户功能验收清单'!N43="","",'用户功能验收清单'!N43)</x:f>
      </x:c>
      <x:c r="J53" s="292" t="str">
        <x:v>王敬博</x:v>
      </x:c>
      <x:c r="K53" s="293" t="str">
        <x:v>Sprint2 LLM 混合架构修订：S2-T012,S2-T018</x:v>
      </x:c>
    </x:row>
    <x:row r="54" ht="80" customHeight="1">
      <x:c r="A54" s="292" t="str">
        <x:v>EV-S2-038</x:v>
      </x:c>
      <x:c r="B54" s="292" t="str">
        <x:v>UAT-S2-038</x:v>
      </x:c>
      <x:c r="C54" s="293" t="str">
        <x:v>1/2/3 人复用同一执行、事件与版本体验。</x:v>
      </x:c>
      <x:c r="D54" s="293" t="str">
        <x:v>PBI-11-A / AC-11-A</x:v>
      </x:c>
      <x:c r="E54" s="293" t="str">
        <x:v>S2-T005,S2-T006</x:v>
      </x:c>
      <x:c r="F54" s="293" t="str">
        <x:v>三组 E2E 录屏+版本快照。</x:v>
      </x:c>
      <x:c r="G54" s="293" t="str">
        <x:v>单人 V1/V2/Diff/接受拒绝底座已存在；LATE/FATIGUE 仅有 reason 分支，未形成用户对话入口与确定性事件闭环。</x:v>
      </x:c>
      <x:c r="H54" s="292" t="str">
        <x:f>'用户功能验收清单'!M44</x:f>
        <x:v>未执行</x:v>
      </x:c>
      <x:c r="I54" s="294" t="str">
        <x:f>IF('用户功能验收清单'!N44="","",'用户功能验收清单'!N44)</x:f>
      </x:c>
      <x:c r="J54" s="292" t="str">
        <x:v>陈梓元</x:v>
      </x:c>
      <x:c r="K54" s="293" t="str">
        <x:v>Sprint2 LLM 混合架构修订：S2-T005,S2-T006</x:v>
      </x:c>
    </x:row>
    <x:row r="55" ht="80" customHeight="1">
      <x:c r="A55" s="292" t="str">
        <x:v>EV-S2-039</x:v>
      </x:c>
      <x:c r="B55" s="292" t="str">
        <x:v>UAT-S2-039</x:v>
      </x:c>
      <x:c r="C55" s="293" t="str">
        <x:v>迟到口语先变成可确认事件草稿。</x:v>
      </x:c>
      <x:c r="D55" s="293" t="str">
        <x:v>PBI-11-B / AC-11-B</x:v>
      </x:c>
      <x:c r="E55" s="293" t="str">
        <x:v>S2-T019,S2-T020</x:v>
      </x:c>
      <x:c r="F55" s="293" t="str">
        <x:v>口语→草稿→确认录屏。</x:v>
      </x:c>
      <x:c r="G55" s="293" t="str">
        <x:v>单人 V1/V2/Diff/接受拒绝底座已存在；LATE/FATIGUE 仅有 reason 分支，未形成用户对话入口与确定性事件闭环。</x:v>
      </x:c>
      <x:c r="H55" s="292" t="str">
        <x:f>'用户功能验收清单'!M45</x:f>
        <x:v>未执行</x:v>
      </x:c>
      <x:c r="I55" s="294" t="str">
        <x:f>IF('用户功能验收清单'!N45="","",'用户功能验收清单'!N45)</x:f>
      </x:c>
      <x:c r="J55" s="292" t="str">
        <x:v>林粲涵</x:v>
      </x:c>
      <x:c r="K55" s="293" t="str">
        <x:v>Sprint2 LLM 混合架构修订：S2-T019,S2-T020</x:v>
      </x:c>
    </x:row>
    <x:row r="56" ht="80" customHeight="1">
      <x:c r="A56" s="292" t="str">
        <x:v>EV-S2-040</x:v>
      </x:c>
      <x:c r="B56" s="292" t="str">
        <x:v>UAT-S2-040</x:v>
      </x:c>
      <x:c r="C56" s="293" t="str">
        <x:v>疲劳口语先变成可确认事件草稿。</x:v>
      </x:c>
      <x:c r="D56" s="293" t="str">
        <x:v>PBI-11-B / AC-11-B</x:v>
      </x:c>
      <x:c r="E56" s="293" t="str">
        <x:v>S2-T019,S2-T020</x:v>
      </x:c>
      <x:c r="F56" s="293" t="str">
        <x:v>草稿+Profile 前后对比。</x:v>
      </x:c>
      <x:c r="G56" s="293" t="str">
        <x:v>单人 V1/V2/Diff/接受拒绝底座已存在；LATE/FATIGUE 仅有 reason 分支，未形成用户对话入口与确定性事件闭环。</x:v>
      </x:c>
      <x:c r="H56" s="292" t="str">
        <x:f>'用户功能验收清单'!M46</x:f>
        <x:v>未执行</x:v>
      </x:c>
      <x:c r="I56" s="294" t="str">
        <x:f>IF('用户功能验收清单'!N46="","",'用户功能验收清单'!N46)</x:f>
      </x:c>
      <x:c r="J56" s="292" t="str">
        <x:v>林粲涵</x:v>
      </x:c>
      <x:c r="K56" s="293" t="str">
        <x:v>Sprint2 LLM 混合架构修订：S2-T019,S2-T020</x:v>
      </x:c>
    </x:row>
    <x:row r="57" ht="80" customHeight="1">
      <x:c r="A57" s="292" t="str">
        <x:v>EV-S2-041</x:v>
      </x:c>
      <x:c r="B57" s="292" t="str">
        <x:v>UAT-S2-041</x:v>
      </x:c>
      <x:c r="C57" s="293" t="str">
        <x:v>迟到/疲劳由程序触发候选 V2，并保留已完成/锁定任务。</x:v>
      </x:c>
      <x:c r="D57" s="293" t="str">
        <x:v>PBI-11-B / AC-11-B</x:v>
      </x:c>
      <x:c r="E57" s="293" t="str">
        <x:v>S2-T020,S2-T021</x:v>
      </x:c>
      <x:c r="F57" s="293" t="str">
        <x:v>事件+V1/V2 对照+冻结率记录。</x:v>
      </x:c>
      <x:c r="G57" s="293" t="str">
        <x:v>单人 V1/V2/Diff/接受拒绝底座已存在；LATE/FATIGUE 仅有 reason 分支，未形成用户对话入口与确定性事件闭环。</x:v>
      </x:c>
      <x:c r="H57" s="292" t="str">
        <x:f>'用户功能验收清单'!M47</x:f>
        <x:v>未执行</x:v>
      </x:c>
      <x:c r="I57" s="294" t="str">
        <x:f>IF('用户功能验收清单'!N47="","",'用户功能验收清单'!N47)</x:f>
      </x:c>
      <x:c r="J57" s="292" t="str">
        <x:v>林粲涵</x:v>
      </x:c>
      <x:c r="K57" s="293" t="str">
        <x:v>Sprint2 LLM 混合架构修订：S2-T020,S2-T021</x:v>
      </x:c>
    </x:row>
    <x:row r="58" ht="80" customHeight="1">
      <x:c r="A58" s="313" t="str">
        <x:v>EV-S2-042</x:v>
      </x:c>
      <x:c r="B58" s="292" t="str">
        <x:v>UAT-S2-042</x:v>
      </x:c>
      <x:c r="C58" s="293" t="str">
        <x:v>查看程序生成的 Diff，未接受前不覆盖 CURRENT。</x:v>
      </x:c>
      <x:c r="D58" s="293" t="str">
        <x:v>PBI-11-A / PBI-11-B</x:v>
      </x:c>
      <x:c r="E58" s="293" t="str">
        <x:v>S2-T005,S2-T006,S2-T021,S2-T022</x:v>
      </x:c>
      <x:c r="F58" s="293" t="str">
        <x:v>Diff 截图+刷新前后状态。</x:v>
      </x:c>
      <x:c r="G58" s="293" t="str">
        <x:v>单人 V1/V2/Diff/接受拒绝底座已存在；LATE/FATIGUE 仅有 reason 分支，未形成用户对话入口与确定性事件闭环。</x:v>
      </x:c>
      <x:c r="H58" s="292" t="str">
        <x:f>'用户功能验收清单'!M48</x:f>
        <x:v>未执行</x:v>
      </x:c>
      <x:c r="I58" s="294" t="str">
        <x:f>IF('用户功能验收清单'!N48="","",'用户功能验收清单'!N48)</x:f>
      </x:c>
      <x:c r="J58" s="292" t="str">
        <x:v>林粲涵</x:v>
      </x:c>
      <x:c r="K58" s="293" t="str">
        <x:v>Sprint2 LLM 混合架构修订：S2-T005,S2-T006,S2-T021,S2-T022</x:v>
      </x:c>
    </x:row>
    <x:row r="59" ht="80" customHeight="1">
      <x:c r="A59" s="292" t="str">
        <x:v>EV-S2-043</x:v>
      </x:c>
      <x:c r="B59" s="292" t="str">
        <x:v>UAT-S2-043</x:v>
      </x:c>
      <x:c r="C59" s="293" t="str">
        <x:v>候选 V2 可接受或拒绝且状态闭环正确。</x:v>
      </x:c>
      <x:c r="D59" s="293" t="str">
        <x:v>PBI-11-A / PBI-11-B</x:v>
      </x:c>
      <x:c r="E59" s="293" t="str">
        <x:v>S2-T005,S2-T006,S2-T022</x:v>
      </x:c>
      <x:c r="F59" s="293" t="str">
        <x:v>接受/拒绝双录屏+状态日志。</x:v>
      </x:c>
      <x:c r="G59" s="293" t="str">
        <x:v>单人 V1/V2/Diff/接受拒绝底座已存在；LATE/FATIGUE 仅有 reason 分支，未形成用户对话入口与确定性事件闭环。</x:v>
      </x:c>
      <x:c r="H59" s="292" t="str">
        <x:f>'用户功能验收清单'!M49</x:f>
        <x:v>未执行</x:v>
      </x:c>
      <x:c r="I59" s="294" t="str">
        <x:f>IF('用户功能验收清单'!N49="","",'用户功能验收清单'!N49)</x:f>
      </x:c>
      <x:c r="J59" s="292" t="str">
        <x:v>林粲涵</x:v>
      </x:c>
      <x:c r="K59" s="293" t="str">
        <x:v>Sprint2 LLM 混合架构修订：S2-T005,S2-T006,S2-T022</x:v>
      </x:c>
    </x:row>
    <x:row r="60" ht="80" customHeight="1">
      <x:c r="A60" s="292" t="str">
        <x:v>EV-S2-044</x:v>
      </x:c>
      <x:c r="B60" s="292" t="str">
        <x:v>UAT-S2-044</x:v>
      </x:c>
      <x:c r="C60" s="293" t="str">
        <x:v>回忆按实际事件顺序展示真实结果。</x:v>
      </x:c>
      <x:c r="D60" s="293" t="str">
        <x:v>PBI-12-A / AC-12-A</x:v>
      </x:c>
      <x:c r="E60" s="293" t="str">
        <x:v>S2-T017,S2-T018</x:v>
      </x:c>
      <x:c r="F60" s="293" t="str">
        <x:v>回忆全页录屏+事件对照表。</x:v>
      </x:c>
      <x:c r="G60" s="293" t="str">
        <x:v>已有基础总结/trace 底座，但无 Sprint2 MemoryTimeline、照片过滤与 0 照片/无 V2 用户验收证据。</x:v>
      </x:c>
      <x:c r="H60" s="292" t="str">
        <x:f>'用户功能验收清单'!M50</x:f>
        <x:v>未执行</x:v>
      </x:c>
      <x:c r="I60" s="294" t="str">
        <x:f>IF('用户功能验收清单'!N50="","",'用户功能验收清单'!N50)</x:f>
      </x:c>
      <x:c r="J60" s="292" t="str">
        <x:v>王敬博</x:v>
      </x:c>
      <x:c r="K60" s="293" t="str">
        <x:v>Sprint2 LLM 混合架构修订：S2-T017,S2-T018</x:v>
      </x:c>
    </x:row>
    <x:row r="61" ht="80" customHeight="1">
      <x:c r="A61" s="292" t="str">
        <x:v>EV-S2-045</x:v>
      </x:c>
      <x:c r="B61" s="292" t="str">
        <x:v>UAT-S2-045</x:v>
      </x:c>
      <x:c r="C61" s="293" t="str">
        <x:v>0 照片且无 V2 仍能总结。</x:v>
      </x:c>
      <x:c r="D61" s="293" t="str">
        <x:v>PBI-12-A / AC-12-A</x:v>
      </x:c>
      <x:c r="E61" s="293" t="str">
        <x:v>S2-T017,S2-T018</x:v>
      </x:c>
      <x:c r="F61" s="293" t="str">
        <x:v>零照片/无 V2 回忆截图。</x:v>
      </x:c>
      <x:c r="G61" s="293" t="str">
        <x:v>已有基础总结/trace 底座，但无 Sprint2 MemoryTimeline、照片过滤与 0 照片/无 V2 用户验收证据。</x:v>
      </x:c>
      <x:c r="H61" s="292" t="str">
        <x:f>'用户功能验收清单'!M51</x:f>
        <x:v>未执行</x:v>
      </x:c>
      <x:c r="I61" s="294" t="str">
        <x:f>IF('用户功能验收清单'!N51="","",'用户功能验收清单'!N51)</x:f>
      </x:c>
      <x:c r="J61" s="292" t="str">
        <x:v>王敬博</x:v>
      </x:c>
      <x:c r="K61" s="293" t="str">
        <x:v>Sprint2 LLM 混合架构修订：S2-T017,S2-T018</x:v>
      </x:c>
    </x:row>
    <x:row r="62" ht="80" customHeight="1">
      <x:c r="A62" s="292" t="str">
        <x:v>EV-S2-046</x:v>
      </x:c>
      <x:c r="B62" s="292" t="str">
        <x:v>UAT-S2-046</x:v>
      </x:c>
      <x:c r="C62" s="293" t="str">
        <x:v>主要流程只保留对话、确认卡和唯一主操作。</x:v>
      </x:c>
      <x:c r="D62" s="293" t="str">
        <x:v>PBI-13-S2 / AC-13-S2</x:v>
      </x:c>
      <x:c r="E62" s="293" t="str">
        <x:v>S2-T002,S2-T010,S2-T015,S2-T018,S2-T022,S2-T023</x:v>
      </x:c>
      <x:c r="F62" s="293" t="str">
        <x:v>改版前后对比+完整路径录屏。</x:v>
      </x:c>
      <x:c r="G62" s="293" t="str">
        <x:v>现有页面有 max-width/reduced-motion 基线，但无统一对话壳；多处控件小于 44px；公网 Web 当前 404。</x:v>
      </x:c>
      <x:c r="H62" s="292" t="str">
        <x:f>'用户功能验收清单'!M52</x:f>
        <x:v>未执行</x:v>
      </x:c>
      <x:c r="I62" s="294" t="str">
        <x:f>IF('用户功能验收清单'!N52="","",'用户功能验收清单'!N52)</x:f>
      </x:c>
      <x:c r="J62" s="292" t="str">
        <x:v>林粲涵</x:v>
      </x:c>
      <x:c r="K62" s="293" t="str">
        <x:v>Sprint2 LLM 混合架构修订：S2-T002,S2-T010,S2-T015,S2-T018,S2-T022,S2-T023</x:v>
      </x:c>
    </x:row>
    <x:row r="63" ht="80" customHeight="1">
      <x:c r="A63" s="292" t="str">
        <x:v>EV-S2-047</x:v>
      </x:c>
      <x:c r="B63" s="292" t="str">
        <x:v>UAT-S2-047</x:v>
      </x:c>
      <x:c r="C63" s="293" t="str">
        <x:v>375px/768px 无横向滚动且主触控目标≥44px。</x:v>
      </x:c>
      <x:c r="D63" s="293" t="str">
        <x:v>PBI-13-S2 / AC-13-S2</x:v>
      </x:c>
      <x:c r="E63" s="293" t="str">
        <x:v>S2-T023,S2-T024</x:v>
      </x:c>
      <x:c r="F63" s="293" t="str">
        <x:v>375/768 录屏+尺寸测量截图。</x:v>
      </x:c>
      <x:c r="G63" s="293" t="str">
        <x:v>现有页面有 max-width/reduced-motion 基线，但无统一对话壳；多处控件小于 44px；公网 Web 当前 404。</x:v>
      </x:c>
      <x:c r="H63" s="292" t="str">
        <x:f>'用户功能验收清单'!M53</x:f>
        <x:v>未执行</x:v>
      </x:c>
      <x:c r="I63" s="294" t="str">
        <x:f>IF('用户功能验收清单'!N53="","",'用户功能验收清单'!N53)</x:f>
      </x:c>
      <x:c r="J63" s="292" t="str">
        <x:v>林粲涵</x:v>
      </x:c>
      <x:c r="K63" s="293" t="str">
        <x:v>Sprint2 LLM 混合架构修订：S2-T023,S2-T024</x:v>
      </x:c>
    </x:row>
    <x:row r="64" ht="80" customHeight="1">
      <x:c r="A64" s="292" t="str">
        <x:v>EV-S2-048</x:v>
      </x:c>
      <x:c r="B64" s="292" t="str">
        <x:v>UAT-S2-048</x:v>
      </x:c>
      <x:c r="C64" s="293" t="str">
        <x:v>加载、权限拒绝、上传失败与 reduced-motion 均可见可用。</x:v>
      </x:c>
      <x:c r="D64" s="293" t="str">
        <x:v>PBI-13-S2 / AC-13-S2</x:v>
      </x:c>
      <x:c r="E64" s="293" t="str">
        <x:v>S2-T023,S2-T024</x:v>
      </x:c>
      <x:c r="F64" s="293" t="str">
        <x:v>四态录屏+可访问检查记录。</x:v>
      </x:c>
      <x:c r="G64" s="293" t="str">
        <x:v>现有页面有 max-width/reduced-motion 基线，但无统一对话壳；多处控件小于 44px；公网 Web 当前 404。</x:v>
      </x:c>
      <x:c r="H64" s="292" t="str">
        <x:f>'用户功能验收清单'!M54</x:f>
        <x:v>未执行</x:v>
      </x:c>
      <x:c r="I64" s="294" t="str">
        <x:f>IF('用户功能验收清单'!N54="","",'用户功能验收清单'!N54)</x:f>
      </x:c>
      <x:c r="J64" s="292" t="str">
        <x:v>林粲涵</x:v>
      </x:c>
      <x:c r="K64" s="293" t="str">
        <x:v>Sprint2 LLM 混合架构修订：S2-T023,S2-T024</x:v>
      </x:c>
    </x:row>
    <x:row r="66">
      <x:c r="A66" s="334" t="str">
        <x:v>证据判定：模型响应、代码路径、接口、单元测试、API health 只能说明底座可能存在；只有用户按主表完成操作、看到可判定结果，并留下截图/录屏/测试记录，才允许把状态改为“通过”。当前无真实证据的行全部保持“未执行”。</x:v>
      </x:c>
      <x:c r="B66" s="335"/>
      <x:c r="C66" s="335"/>
      <x:c r="D66" s="335"/>
      <x:c r="E66" s="335"/>
      <x:c r="F66" s="335"/>
      <x:c r="G66" s="335"/>
      <x:c r="H66" s="335"/>
      <x:c r="I66" s="335"/>
      <x:c r="J66" s="335"/>
      <x:c r="K66" s="336"/>
    </x:row>
    <x:row r="67">
      <x:c r="A67" s="337"/>
      <x:c r="B67" s="338"/>
      <x:c r="C67" s="338"/>
      <x:c r="D67" s="338"/>
      <x:c r="E67" s="338"/>
      <x:c r="F67" s="338"/>
      <x:c r="G67" s="338"/>
      <x:c r="H67" s="338"/>
      <x:c r="I67" s="338"/>
      <x:c r="J67" s="338"/>
      <x:c r="K67" s="339"/>
    </x:row>
    <x:row r="68">
      <x:c r="A68" s="340"/>
      <x:c r="B68" s="341"/>
      <x:c r="C68" s="341"/>
      <x:c r="D68" s="341"/>
      <x:c r="E68" s="341"/>
      <x:c r="F68" s="341"/>
      <x:c r="G68" s="341"/>
      <x:c r="H68" s="341"/>
      <x:c r="I68" s="341"/>
      <x:c r="J68" s="341"/>
      <x:c r="K68" s="342"/>
    </x:row>
  </x:sheetData>
  <x:mergeCells>
    <x:mergeCell ref="A4:K4"/>
    <x:mergeCell ref="A15:K15"/>
    <x:mergeCell ref="A2:K2"/>
    <x:mergeCell ref="A1:K1"/>
    <x:mergeCell ref="A66:K68"/>
  </x:mergeCells>
  <x:conditionalFormatting sqref="H6:H13">
    <x:cfRule type="containsText" dxfId="0" priority="1" operator="containsText" text="未执行"/>
    <x:cfRule type="containsText" dxfId="1" priority="2" operator="containsText" text="通过"/>
    <x:cfRule type="containsText" dxfId="2" priority="3" operator="containsText" text="失败"/>
    <x:cfRule type="containsText" dxfId="3" priority="4" operator="containsText" text="阻塞"/>
    <x:cfRule type="containsText" dxfId="4" priority="5" operator="containsText" text="不适用"/>
    <x:cfRule type="containsText" dxfId="34" priority="11" operator="containsText" text="未执行"/>
    <x:cfRule type="containsText" dxfId="35" priority="12" operator="containsText" text="通过"/>
    <x:cfRule type="containsText" dxfId="36" priority="13" operator="containsText" text="失败"/>
    <x:cfRule type="containsText" dxfId="37" priority="14" operator="containsText" text="阻塞"/>
    <x:cfRule type="containsText" dxfId="38" priority="15" operator="containsText" text="不适用"/>
  </x:conditionalFormatting>
  <x:conditionalFormatting sqref="H17:H56">
    <x:cfRule type="containsText" dxfId="0" priority="6" operator="containsText" text="未执行"/>
    <x:cfRule type="containsText" dxfId="1" priority="7" operator="containsText" text="通过"/>
    <x:cfRule type="containsText" dxfId="2" priority="8" operator="containsText" text="失败"/>
    <x:cfRule type="containsText" dxfId="3" priority="9" operator="containsText" text="阻塞"/>
    <x:cfRule type="containsText" dxfId="4" priority="10" operator="containsText" text="不适用"/>
  </x:conditionalFormatting>
  <x:conditionalFormatting sqref="H17:H64">
    <x:cfRule type="containsText" dxfId="39" priority="16" operator="containsText" text="未执行"/>
    <x:cfRule type="containsText" dxfId="40" priority="17" operator="containsText" text="通过"/>
    <x:cfRule type="containsText" dxfId="41" priority="18" operator="containsText" text="失败"/>
    <x:cfRule type="containsText" dxfId="42" priority="19" operator="containsText" text="阻塞"/>
    <x:cfRule type="containsText" dxfId="43" priority="20" operator="containsText" text="不适用"/>
  </x:conditionalFormatting>
  <x:printOptions horizontalCentered="0" verticalCentered="0" gridLines="0" headings="0"/>
  <x:pageMargins left="0.3" right="0.3" top="0.5" bottom="0.5" header="0.2" footer="0.2"/>
  <x:pageSetup paperSize="9" orientation="landscape" fitToWidth="2" fitToHeight="0" blackAndWhite="0" draft="0"/>
  <x:headerFooter>
    <x:oddFooter>&amp;L行知旅伴 V2.3&amp;R第 &amp;P / &amp;N 页</x:oddFooter>
  </x:headerFooter>
  <x:tableParts count="2">
    <x:tablePart xmlns:r="http://schemas.openxmlformats.org/officeDocument/2006/relationships" r:id="R9fa3f8649c354caf"/>
    <x:tablePart xmlns:r="http://schemas.openxmlformats.org/officeDocument/2006/relationships" r:id="R947db292705e42b0"/>
  </x:tableParts>
</x:worksheet>
</file>