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66c412445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权说明" sheetId="1" r:id="Rc3f13380031e4a20"/>
    <x:sheet xmlns:r="http://schemas.openxmlformats.org/officeDocument/2006/relationships" name="产品Backlog" sheetId="2" r:id="Rde1dba2eacde48b4"/>
    <x:sheet xmlns:r="http://schemas.openxmlformats.org/officeDocument/2006/relationships" name="团队速率" sheetId="3" r:id="R979b8613dea340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"/>
    <x:numFmt numFmtId="202" formatCode="0%"/>
  </x:numFmts>
  <x:fonts count="14">
    <x:font>
      <x:sz val="11"/>
      <x:name val="Carlito"/>
    </x:font>
    <x:font>
      <x:b/>
      <x:sz val="18"/>
      <x:color rgb="FFFFFFFF"/>
      <x:name val="Microsoft YaHei"/>
    </x:font>
    <x:font>
      <x:b/>
      <x:sz val="10"/>
      <x:color rgb="FF1F4E78"/>
      <x:name val="Microsoft YaHei"/>
    </x:font>
    <x:font>
      <x:sz val="10"/>
      <x:color rgb="FF1F2937"/>
      <x:name val="Microsoft YaHei"/>
    </x:font>
    <x:font>
      <x:i/>
      <x:sz val="9"/>
      <x:color rgb="FF667085"/>
      <x:name val="Microsoft YaHei"/>
    </x:font>
    <x:font>
      <x:b/>
      <x:sz val="22"/>
      <x:color rgb="FFFFFFFF"/>
      <x:name val="Microsoft YaHei"/>
    </x:font>
    <x:font>
      <x:b/>
      <x:sz val="9"/>
      <x:color rgb="FF1F4E78"/>
      <x:name val="Microsoft YaHei"/>
    </x:font>
    <x:font>
      <x:sz val="9"/>
      <x:color rgb="FF1F2937"/>
      <x:name val="Microsoft YaHei"/>
    </x:font>
    <x:font>
      <x:b/>
      <x:sz val="9"/>
      <x:color rgb="FF111827"/>
      <x:name val="Microsoft YaHei"/>
    </x:font>
    <x:font>
      <x:i/>
      <x:sz val="9"/>
      <x:color rgb="FF1F2937"/>
      <x:name val="Microsoft YaHei"/>
    </x:font>
    <x:font>
      <x:b/>
      <x:sz val="10"/>
      <x:color rgb="FF111827"/>
      <x:name val="Microsoft YaHei"/>
    </x:font>
    <x:font>
      <x:b/>
      <x:sz val="11"/>
      <x:color rgb="FF7F6000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4FA"/>
      </x:patternFill>
    </x:fill>
    <x:fill>
      <x:patternFill patternType="solid">
        <x:fgColor rgb="FFFFCC00"/>
      </x:patternFill>
    </x:fill>
    <x:fill>
      <x:patternFill patternType="solid">
        <x:fgColor rgb="FFD9F7F7"/>
      </x:patternFill>
    </x:fill>
    <x:fill>
      <x:patternFill patternType="solid">
        <x:fgColor rgb="FFDCFCE7"/>
      </x:patternFill>
    </x:fill>
    <x:fill>
      <x:patternFill patternType="solid">
        <x:fgColor rgb="FFE8EEF9"/>
      </x:patternFill>
    </x:fill>
    <x:fill>
      <x:patternFill patternType="solid">
        <x:fgColor rgb="FFF3F4F6"/>
      </x:patternFill>
    </x:fill>
    <x:fill>
      <x:patternFill patternType="solid">
        <x:fgColor rgb="FFFFF4CC"/>
      </x:patternFill>
    </x:fill>
    <x:fill>
      <x:patternFill patternType="solid">
        <x:fgColor rgb="FFFFF8E8"/>
      </x:patternFill>
    </x:fill>
    <x:fill>
      <x:patternFill patternType="solid">
        <x:fgColor rgb="FFFFF4CC"/>
      </x:patternFill>
    </x:fill>
    <x:fill>
      <x:patternFill patternType="solid">
        <x:fgColor rgb="FFFFF2CC"/>
      </x:patternFill>
    </x:fill>
    <x:fill>
      <x:patternFill patternType="solid">
        <x:fgColor rgb="FFE8EEF9"/>
      </x:patternFill>
    </x:fill>
  </x:fills>
  <x:borders count="19">
    <x:border/>
    <x:border>
      <x:left style="thin">
        <x:color rgb="FFAAB4C0"/>
      </x:left>
      <x:right style="thin">
        <x:color rgb="FFAAB4C0"/>
      </x:right>
      <x:top style="thin">
        <x:color rgb="FFAAB4C0"/>
      </x:top>
      <x:bottom style="thin">
        <x:color rgb="FFAAB4C0"/>
      </x:bottom>
    </x:border>
    <x:border>
      <x:left style="thin">
        <x:color rgb="FFAAB4C0"/>
      </x:left>
      <x:top style="thin">
        <x:color rgb="FFAAB4C0"/>
      </x:top>
    </x:border>
    <x:border>
      <x:top style="thin">
        <x:color rgb="FFAAB4C0"/>
      </x:top>
    </x:border>
    <x:border>
      <x:right style="thin">
        <x:color rgb="FFAAB4C0"/>
      </x:right>
      <x:top style="thin">
        <x:color rgb="FFAAB4C0"/>
      </x:top>
    </x:border>
    <x:border>
      <x:left style="thin">
        <x:color rgb="FFAAB4C0"/>
      </x:left>
      <x:bottom style="thin">
        <x:color rgb="FFAAB4C0"/>
      </x:bottom>
    </x:border>
    <x:border>
      <x:bottom style="thin">
        <x:color rgb="FFAAB4C0"/>
      </x:bottom>
    </x:border>
    <x:border>
      <x:right style="thin">
        <x:color rgb="FFAAB4C0"/>
      </x:right>
      <x:bottom style="thin">
        <x:color rgb="FFAAB4C0"/>
      </x:bottom>
    </x:border>
    <x:border>
      <x:left style="medium">
        <x:color rgb="FF1F4E78"/>
      </x:left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</x:border>
    <x:border>
      <x:right style="medium">
        <x:color rgb="FF1F4E78"/>
      </x:right>
    </x:border>
    <x:border>
      <x:left style="medium">
        <x:color rgb="FF1F4E78"/>
      </x:left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thin">
        <x:color rgb="FFAAB4C0"/>
      </x:left>
      <x:top style="thin">
        <x:color rgb="FFAAB4C0"/>
      </x:top>
      <x:bottom style="thin">
        <x:color rgb="FFAAB4C0"/>
      </x:bottom>
    </x:border>
    <x:border>
      <x:top style="thin">
        <x:color rgb="FFAAB4C0"/>
      </x:top>
      <x:bottom style="thin">
        <x:color rgb="FFAAB4C0"/>
      </x:bottom>
    </x:border>
    <x:border>
      <x:right style="thin">
        <x:color rgb="FFAAB4C0"/>
      </x:right>
      <x:top style="thin">
        <x:color rgb="FFAAB4C0"/>
      </x:top>
      <x:bottom style="thin">
        <x:color rgb="FFAAB4C0"/>
      </x:bottom>
    </x:border>
    <x:border>
      <x:left style="medium">
        <x:color rgb="FF4B5563"/>
      </x:left>
      <x:right style="medium">
        <x:color rgb="FF4B5563"/>
      </x:right>
      <x:top style="medium">
        <x:color rgb="FF4B5563"/>
      </x:top>
      <x:bottom style="medium">
        <x:color rgb="FF4B5563"/>
      </x:bottom>
    </x:border>
    <x:border>
      <x:left style="medium">
        <x:color rgb="FF1F4E78"/>
      </x:left>
      <x:right style="medium">
        <x:color rgb="FF1F4E78"/>
      </x:right>
      <x:top style="medium">
        <x:color rgb="FF1F4E78"/>
      </x:top>
      <x:bottom style="medium">
        <x:color rgb="FF1F4E78"/>
      </x:bottom>
    </x:border>
  </x:borders>
  <x:cellStyleXfs count="1">
    <x:xf numFmtId="0" fontId="0" fillId="0" borderId="0"/>
  </x:cellStyleXfs>
  <x:cellXfs count="1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10" xfId="0" applyNumberFormat="1" applyFont="1" applyFill="1" applyBorder="1"/>
    <x:xf numFmtId="0" fontId="5" fillId="2" borderId="11" xfId="0" applyNumberFormat="1" applyFont="1" applyFill="1" applyBorder="1"/>
    <x:xf numFmtId="0" fontId="5" fillId="2" borderId="12" xfId="0" applyNumberFormat="1" applyFont="1" applyFill="1" applyBorder="1"/>
    <x:xf numFmtId="0" fontId="5" fillId="2" borderId="13" xfId="0" applyNumberFormat="1" applyFont="1" applyFill="1" applyBorder="1"/>
    <x:xf numFmtId="0" fontId="5" fillId="2" borderId="8" xfId="0" applyNumberFormat="1" applyFont="1" applyFill="1" applyBorder="1" applyAlignment="1">
      <x:alignment wrapText="1"/>
    </x:xf>
    <x:xf numFmtId="0" fontId="5" fillId="2" borderId="9" xfId="0" applyNumberFormat="1" applyFont="1" applyFill="1" applyBorder="1" applyAlignment="1">
      <x:alignment wrapText="1"/>
    </x:xf>
    <x:xf numFmtId="0" fontId="5" fillId="2" borderId="10" xfId="0" applyNumberFormat="1" applyFont="1" applyFill="1" applyBorder="1" applyAlignment="1">
      <x:alignment wrapText="1"/>
    </x:xf>
    <x:xf numFmtId="0" fontId="5" fillId="2" borderId="11" xfId="0" applyNumberFormat="1" applyFont="1" applyFill="1" applyBorder="1" applyAlignment="1">
      <x:alignment wrapText="1"/>
    </x:xf>
    <x:xf numFmtId="0" fontId="5" fillId="2" borderId="12" xfId="0" applyNumberFormat="1" applyFont="1" applyFill="1" applyBorder="1" applyAlignment="1">
      <x:alignment wrapText="1"/>
    </x:xf>
    <x:xf numFmtId="0" fontId="5" fillId="2" borderId="13" xfId="0" applyNumberFormat="1" applyFont="1" applyFill="1" applyBorder="1" applyAlignment="1">
      <x:alignment wrapText="1"/>
    </x:xf>
    <x:xf numFmtId="0" fontId="5" fillId="2" borderId="8" xfId="0" applyNumberFormat="1" applyFont="1" applyFill="1" applyBorder="1" applyAlignment="1">
      <x:alignment horizontal="left" wrapText="1"/>
    </x:xf>
    <x:xf numFmtId="0" fontId="5" fillId="2" borderId="9" xfId="0" applyNumberFormat="1" applyFont="1" applyFill="1" applyBorder="1" applyAlignment="1">
      <x:alignment horizontal="left" wrapText="1"/>
    </x:xf>
    <x:xf numFmtId="0" fontId="5" fillId="2" borderId="10" xfId="0" applyNumberFormat="1" applyFont="1" applyFill="1" applyBorder="1" applyAlignment="1">
      <x:alignment horizontal="left" wrapText="1"/>
    </x:xf>
    <x:xf numFmtId="0" fontId="5" fillId="2" borderId="11" xfId="0" applyNumberFormat="1" applyFont="1" applyFill="1" applyBorder="1" applyAlignment="1">
      <x:alignment horizontal="left" wrapText="1"/>
    </x:xf>
    <x:xf numFmtId="0" fontId="5" fillId="2" borderId="12" xfId="0" applyNumberFormat="1" applyFont="1" applyFill="1" applyBorder="1" applyAlignment="1">
      <x:alignment horizontal="left" wrapText="1"/>
    </x:xf>
    <x:xf numFmtId="0" fontId="5" fillId="2" borderId="13" xfId="0" applyNumberFormat="1" applyFont="1" applyFill="1" applyBorder="1" applyAlignment="1">
      <x:alignment horizontal="left" wrapText="1"/>
    </x:xf>
    <x:xf numFmtId="0" fontId="5" fillId="2" borderId="8" xfId="0" applyNumberFormat="1" applyFont="1" applyFill="1" applyBorder="1" applyAlignment="1">
      <x:alignment horizontal="left" vertical="center" wrapText="1"/>
    </x:xf>
    <x:xf numFmtId="0" fontId="5" fillId="2" borderId="9" xfId="0" applyNumberFormat="1" applyFont="1" applyFill="1" applyBorder="1" applyAlignment="1">
      <x:alignment horizontal="left" vertical="center" wrapText="1"/>
    </x:xf>
    <x:xf numFmtId="0" fontId="5" fillId="2" borderId="10" xfId="0" applyNumberFormat="1" applyFont="1" applyFill="1" applyBorder="1" applyAlignment="1">
      <x:alignment horizontal="left" vertical="center" wrapText="1"/>
    </x:xf>
    <x:xf numFmtId="0" fontId="5" fillId="2" borderId="11" xfId="0" applyNumberFormat="1" applyFont="1" applyFill="1" applyBorder="1" applyAlignment="1">
      <x:alignment horizontal="left" vertical="center" wrapText="1"/>
    </x:xf>
    <x:xf numFmtId="0" fontId="5" fillId="2" borderId="12" xfId="0" applyNumberFormat="1" applyFont="1" applyFill="1" applyBorder="1" applyAlignment="1">
      <x:alignment horizontal="left" vertical="center" wrapText="1"/>
    </x:xf>
    <x:xf numFmtId="0" fontId="5" fillId="2" borderId="13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right" wrapText="1"/>
    </x:xf>
    <x:xf numFmtId="0" fontId="6" fillId="3" borderId="1" xfId="0" applyNumberFormat="1" applyFont="1" applyFill="1" applyBorder="1" applyAlignment="1">
      <x:alignment horizontal="right"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horizontal="center"/>
    </x:xf>
    <x:xf numFmtId="0" fontId="8" fillId="5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  <x:xf numFmtId="200" fontId="2" fillId="0" borderId="1" xfId="0" applyNumberFormat="1" applyFont="1" applyFill="1" applyBorder="1" applyAlignment="1">
      <x:alignment horizontal="center"/>
    </x:xf>
    <x:xf numFmtId="200" fontId="2" fillId="0" borderId="1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9" fillId="4" borderId="14" xfId="0" applyNumberFormat="1" applyFont="1" applyFill="1" applyBorder="1"/>
    <x:xf numFmtId="0" fontId="9" fillId="4" borderId="15" xfId="0" applyNumberFormat="1" applyFont="1" applyFill="1" applyBorder="1"/>
    <x:xf numFmtId="0" fontId="9" fillId="4" borderId="16" xfId="0" applyNumberFormat="1" applyFont="1" applyFill="1" applyBorder="1"/>
    <x:xf numFmtId="0" fontId="9" fillId="4" borderId="14" xfId="0" applyNumberFormat="1" applyFont="1" applyFill="1" applyBorder="1" applyAlignment="1">
      <x:alignment wrapText="1"/>
    </x:xf>
    <x:xf numFmtId="0" fontId="9" fillId="4" borderId="15" xfId="0" applyNumberFormat="1" applyFont="1" applyFill="1" applyBorder="1" applyAlignment="1">
      <x:alignment wrapText="1"/>
    </x:xf>
    <x:xf numFmtId="0" fontId="9" fillId="4" borderId="16" xfId="0" applyNumberFormat="1" applyFont="1" applyFill="1" applyBorder="1" applyAlignment="1">
      <x:alignment wrapText="1"/>
    </x:xf>
    <x:xf numFmtId="0" fontId="9" fillId="4" borderId="14" xfId="0" applyNumberFormat="1" applyFont="1" applyFill="1" applyBorder="1" applyAlignment="1">
      <x:alignment vertical="center" wrapText="1"/>
    </x:xf>
    <x:xf numFmtId="0" fontId="9" fillId="4" borderId="15" xfId="0" applyNumberFormat="1" applyFont="1" applyFill="1" applyBorder="1" applyAlignment="1">
      <x:alignment vertical="center" wrapText="1"/>
    </x:xf>
    <x:xf numFmtId="0" fontId="9" fillId="4" borderId="16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17" xfId="0" applyNumberFormat="1" applyFont="1" applyFill="1" applyBorder="1"/>
    <x:xf numFmtId="0" fontId="10" fillId="5" borderId="17" xfId="0" applyNumberFormat="1" applyFont="1" applyFill="1" applyBorder="1" applyAlignment="1">
      <x:alignment wrapText="1"/>
    </x:xf>
    <x:xf numFmtId="0" fontId="10" fillId="5" borderId="17" xfId="0" applyNumberFormat="1" applyFont="1" applyFill="1" applyBorder="1" applyAlignment="1">
      <x:alignment horizontal="center" wrapText="1"/>
    </x:xf>
    <x:xf numFmtId="0" fontId="10" fillId="5" borderId="17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horizontal="center" vertical="top" wrapText="1"/>
    </x:xf>
    <x:xf numFmtId="200" fontId="7" fillId="0" borderId="1" xfId="0" applyNumberFormat="1" applyFont="1" applyFill="1" applyBorder="1" applyAlignment="1">
      <x:alignment horizontal="center" vertical="top" wrapText="1"/>
    </x:xf>
    <x:xf numFmtId="201" fontId="7" fillId="0" borderId="1" xfId="0" applyNumberFormat="1" applyFont="1" applyFill="1" applyBorder="1" applyAlignment="1">
      <x:alignment horizontal="center" vertical="top" wrapText="1"/>
    </x:xf>
    <x:xf numFmtId="0" fontId="9" fillId="4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200" fontId="7" fillId="0" borderId="1" xfId="0" applyNumberFormat="1" applyFont="1" applyFill="1" applyBorder="1" applyAlignment="1">
      <x:alignment horizontal="center" vertical="center" wrapText="1"/>
    </x:xf>
    <x:xf numFmtId="202" fontId="7" fillId="0" borderId="1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200" fontId="7" fillId="6" borderId="1" xfId="0" applyNumberFormat="1" applyFont="1" applyFill="1" applyBorder="1" applyAlignment="1">
      <x:alignment horizontal="center" vertical="center" wrapText="1"/>
    </x:xf>
    <x:xf numFmtId="202" fontId="7" fillId="6" borderId="1" xfId="0" applyNumberFormat="1" applyFont="1" applyFill="1" applyBorder="1" applyAlignment="1">
      <x:alignment horizontal="center"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200" fontId="7" fillId="7" borderId="1" xfId="0" applyNumberFormat="1" applyFont="1" applyFill="1" applyBorder="1" applyAlignment="1">
      <x:alignment horizontal="center" vertical="center" wrapText="1"/>
    </x:xf>
    <x:xf numFmtId="202" fontId="7" fillId="7" borderId="1" xfId="0" applyNumberFormat="1" applyFont="1" applyFill="1" applyBorder="1" applyAlignment="1">
      <x:alignment horizontal="center"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200" fontId="7" fillId="8" borderId="1" xfId="0" applyNumberFormat="1" applyFont="1" applyFill="1" applyBorder="1" applyAlignment="1">
      <x:alignment horizontal="center" vertical="center" wrapText="1"/>
    </x:xf>
    <x:xf numFmtId="202" fontId="7" fillId="8" borderId="1" xfId="0" applyNumberFormat="1" applyFont="1" applyFill="1" applyBorder="1" applyAlignment="1">
      <x:alignment horizontal="center"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9" borderId="1" xfId="0" applyNumberFormat="1" applyFont="1" applyFill="1" applyBorder="1" applyAlignment="1">
      <x:alignment horizontal="center" vertical="center" wrapText="1"/>
    </x:xf>
    <x:xf numFmtId="200" fontId="7" fillId="9" borderId="1" xfId="0" applyNumberFormat="1" applyFont="1" applyFill="1" applyBorder="1" applyAlignment="1">
      <x:alignment horizontal="center" vertical="center" wrapText="1"/>
    </x:xf>
    <x:xf numFmtId="202" fontId="7" fillId="9" borderId="1" xfId="0" applyNumberFormat="1" applyFont="1" applyFill="1" applyBorder="1" applyAlignment="1">
      <x:alignment horizontal="center" vertical="center" wrapText="1"/>
    </x:xf>
    <x:xf numFmtId="0" fontId="7" fillId="9" borderId="1" xfId="0" applyNumberFormat="1" applyFont="1" applyFill="1" applyBorder="1" applyAlignment="1">
      <x:alignment vertical="center" wrapText="1"/>
    </x:xf>
    <x:xf numFmtId="200" fontId="7" fillId="10" borderId="1" xfId="0" applyNumberFormat="1" applyFont="1" applyFill="1" applyBorder="1" applyAlignment="1">
      <x:alignment horizontal="center" vertical="center" wrapText="1"/>
    </x:xf>
    <x:xf numFmtId="0" fontId="2" fillId="3" borderId="18" xfId="0" applyNumberFormat="1" applyFont="1" applyFill="1" applyBorder="1"/>
    <x:xf numFmtId="0" fontId="2" fillId="3" borderId="18" xfId="0" applyNumberFormat="1" applyFont="1" applyFill="1" applyBorder="1" applyAlignment="1">
      <x:alignment horizontal="center"/>
    </x:xf>
    <x:xf numFmtId="0" fontId="2" fillId="3" borderId="18" xfId="0" applyNumberFormat="1" applyFont="1" applyFill="1" applyBorder="1" applyAlignment="1">
      <x:alignment horizontal="center" vertical="center"/>
    </x:xf>
    <x:xf numFmtId="200" fontId="2" fillId="3" borderId="18" xfId="0" applyNumberFormat="1" applyFont="1" applyFill="1" applyBorder="1" applyAlignment="1">
      <x:alignment horizontal="center" vertical="center"/>
    </x:xf>
    <x:xf numFmtId="202" fontId="2" fillId="3" borderId="18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2" xfId="0" applyNumberFormat="1" applyFont="1" applyFill="1" applyBorder="1"/>
    <x:xf numFmtId="0" fontId="7" fillId="11" borderId="3" xfId="0" applyNumberFormat="1" applyFont="1" applyFill="1" applyBorder="1"/>
    <x:xf numFmtId="0" fontId="7" fillId="11" borderId="4" xfId="0" applyNumberFormat="1" applyFont="1" applyFill="1" applyBorder="1"/>
    <x:xf numFmtId="0" fontId="7" fillId="11" borderId="5" xfId="0" applyNumberFormat="1" applyFont="1" applyFill="1" applyBorder="1"/>
    <x:xf numFmtId="0" fontId="7" fillId="11" borderId="6" xfId="0" applyNumberFormat="1" applyFont="1" applyFill="1" applyBorder="1"/>
    <x:xf numFmtId="0" fontId="7" fillId="11" borderId="7" xfId="0" applyNumberFormat="1" applyFont="1" applyFill="1" applyBorder="1"/>
    <x:xf numFmtId="0" fontId="7" fillId="11" borderId="2" xfId="0" applyNumberFormat="1" applyFont="1" applyFill="1" applyBorder="1" applyAlignment="1">
      <x:alignment wrapText="1"/>
    </x:xf>
    <x:xf numFmtId="0" fontId="7" fillId="11" borderId="3" xfId="0" applyNumberFormat="1" applyFont="1" applyFill="1" applyBorder="1" applyAlignment="1">
      <x:alignment wrapText="1"/>
    </x:xf>
    <x:xf numFmtId="0" fontId="7" fillId="11" borderId="4" xfId="0" applyNumberFormat="1" applyFont="1" applyFill="1" applyBorder="1" applyAlignment="1">
      <x:alignment wrapText="1"/>
    </x:xf>
    <x:xf numFmtId="0" fontId="7" fillId="11" borderId="5" xfId="0" applyNumberFormat="1" applyFont="1" applyFill="1" applyBorder="1" applyAlignment="1">
      <x:alignment wrapText="1"/>
    </x:xf>
    <x:xf numFmtId="0" fontId="7" fillId="11" borderId="6" xfId="0" applyNumberFormat="1" applyFont="1" applyFill="1" applyBorder="1" applyAlignment="1">
      <x:alignment wrapText="1"/>
    </x:xf>
    <x:xf numFmtId="0" fontId="7" fillId="11" borderId="7" xfId="0" applyNumberFormat="1" applyFont="1" applyFill="1" applyBorder="1" applyAlignment="1">
      <x:alignment wrapText="1"/>
    </x:xf>
    <x:xf numFmtId="0" fontId="7" fillId="12" borderId="1" xfId="0" applyNumberFormat="1" applyFont="1" applyFill="1" applyBorder="1" applyAlignment="1">
      <x:alignment horizontal="center" vertical="center" wrapText="1"/>
    </x:xf>
    <x:xf numFmtId="200" fontId="7" fillId="12" borderId="1" xfId="0" applyNumberFormat="1" applyFont="1" applyFill="1" applyBorder="1" applyAlignment="1">
      <x:alignment horizontal="center" vertical="center" wrapText="1"/>
    </x:xf>
    <x:xf numFmtId="202" fontId="7" fillId="12" borderId="1" xfId="0" applyNumberFormat="1" applyFont="1" applyFill="1" applyBorder="1" applyAlignment="1">
      <x:alignment horizontal="center" vertical="center" wrapText="1"/>
    </x:xf>
    <x:xf numFmtId="0" fontId="7" fillId="12" borderId="1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wrapText="1"/>
    </x:xf>
    <x:xf numFmtId="0" fontId="7" fillId="14" borderId="1" xfId="0" applyNumberFormat="1" applyFont="1" applyFill="1" applyBorder="1" applyAlignment="1">
      <x:alignment horizontal="center" vertical="top" wrapText="1"/>
    </x:xf>
    <x:xf numFmtId="0" fontId="7" fillId="14" borderId="1" xfId="0" applyNumberFormat="1" applyFont="1" applyFill="1" applyBorder="1" applyAlignment="1">
      <x:alignment vertical="top" wrapText="1"/>
    </x:xf>
    <x:xf numFmtId="200" fontId="7" fillId="14" borderId="1" xfId="0" applyNumberFormat="1" applyFont="1" applyFill="1" applyBorder="1" applyAlignment="1">
      <x:alignment horizontal="center" vertical="top" wrapText="1"/>
    </x:xf>
    <x:xf numFmtId="201" fontId="7" fillId="14" borderId="1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 applyAlignment="1">
      <x:alignment wrapText="1"/>
    </x:xf>
    <x:xf numFmtId="0" fontId="12" fillId="14" borderId="0" xfId="0" applyNumberFormat="1" applyFont="1" applyFill="1" applyBorder="1"/>
    <x:xf numFmtId="0" fontId="13" fillId="14" borderId="0" xfId="0" applyNumberFormat="1" applyFont="1" applyFill="1" applyBorder="1" applyAlignment="1">
      <x:alignment wrapText="1"/>
    </x:xf>
    <x:xf numFmtId="0" fontId="12" fillId="14" borderId="1" xfId="0" applyNumberFormat="1" applyFont="1" applyFill="1" applyBorder="1"/>
    <x:xf numFmtId="0" fontId="13" fillId="14" borderId="1" xfId="0" applyNumberFormat="1" applyFont="1" applyFill="1" applyBorder="1" applyAlignment="1">
      <x:alignment wrapText="1"/>
    </x:xf>
    <x:xf numFmtId="0" fontId="12" fillId="14" borderId="1" xfId="0" applyNumberFormat="1" applyFont="1" applyFill="1" applyBorder="1" applyAlignment="1">
      <x:alignment wrapText="1"/>
    </x:xf>
    <x:xf numFmtId="0" fontId="12" fillId="14" borderId="1" xfId="0" applyNumberFormat="1" applyFont="1" applyFill="1" applyBorder="1" applyAlignment="1">
      <x:alignment horizontal="center" wrapText="1"/>
    </x:xf>
    <x:xf numFmtId="0" fontId="13" fillId="14" borderId="1" xfId="0" applyNumberFormat="1" applyFont="1" applyFill="1" applyBorder="1" applyAlignment="1">
      <x:alignment horizontal="center" wrapText="1"/>
    </x:xf>
    <x:xf numFmtId="200" fontId="12" fillId="14" borderId="1" xfId="0" applyNumberFormat="1" applyFont="1" applyFill="1" applyBorder="1" applyAlignment="1">
      <x:alignment horizontal="center" wrapText="1"/>
    </x:xf>
    <x:xf numFmtId="200" fontId="13" fillId="14" borderId="1" xfId="0" applyNumberFormat="1" applyFont="1" applyFill="1" applyBorder="1" applyAlignment="1">
      <x:alignment horizontal="center" wrapText="1"/>
    </x:xf>
    <x:xf numFmtId="201" fontId="12" fillId="14" borderId="1" xfId="0" applyNumberFormat="1" applyFont="1" applyFill="1" applyBorder="1" applyAlignment="1">
      <x:alignment horizontal="center" wrapText="1"/>
    </x:xf>
    <x:xf numFmtId="201" fontId="13" fillId="1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>
          <x:bgColor rgb="FFD9F7F7"/>
        </x:patternFill>
      </x:fill>
    </x:dxf>
    <x:dxf>
      <x:fill>
        <x:patternFill>
          <x:bgColor rgb="FFDCFCE7"/>
        </x:patternFill>
      </x:fill>
    </x:dxf>
    <x:dxf>
      <x:fill>
        <x:patternFill>
          <x:bgColor rgb="FFE8EEF9"/>
        </x:patternFill>
      </x:fill>
    </x:dxf>
    <x:dxf>
      <x:font>
        <x:i/>
        <x:color rgb="FF667085"/>
      </x:font>
      <x:fill>
        <x:patternFill>
          <x:bgColor rgb="FFF3F4F6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i/>
        <x:color rgb="FF7C4A03"/>
      </x:font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14989c70242a5" /><Relationship Type="http://schemas.openxmlformats.org/officeDocument/2006/relationships/theme" Target="/xl/theme/theme1.xml" Id="R61a87d7b7f7544e5" /><Relationship Type="http://schemas.openxmlformats.org/officeDocument/2006/relationships/sharedStrings" Target="/xl/sharedStrings.xml" Id="R8eb88a04bcdd4c80" /><Relationship Type="http://schemas.openxmlformats.org/officeDocument/2006/relationships/worksheet" Target="/xl/worksheets/sheet1.xml" Id="Rc3f13380031e4a20" /><Relationship Type="http://schemas.openxmlformats.org/officeDocument/2006/relationships/worksheet" Target="/xl/worksheets/sheet2.xml" Id="Rde1dba2eacde48b4" /><Relationship Type="http://schemas.openxmlformats.org/officeDocument/2006/relationships/worksheet" Target="/xl/worksheets/sheet3.xml" Id="R979b8613dea340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版权与来源说明</x:v>
      </x:c>
      <x:c r="B1" s="4"/>
      <x:c r="C1" s="4"/>
      <x:c r="D1" s="4"/>
      <x:c r="E1" s="4"/>
      <x:c r="F1" s="4"/>
      <x:c r="G1" s="4"/>
      <x:c r="H1" s="4"/>
    </x:row>
    <x:row r="3" ht="28" customHeight="1">
      <x:c r="A3" s="8" t="str">
        <x:v>项目名称</x:v>
      </x:c>
      <x:c r="B3" s="12" t="str">
        <x:v>行知旅伴——面向国内城市的预算约束与关怀出行 AI Agent</x:v>
      </x:c>
      <x:c r="C3" s="12"/>
      <x:c r="D3" s="12"/>
      <x:c r="E3" s="12"/>
      <x:c r="F3" s="12"/>
      <x:c r="G3" s="12"/>
      <x:c r="H3" s="12"/>
    </x:row>
    <x:row r="4" ht="28" customHeight="1">
      <x:c r="A4" s="8" t="str">
        <x:v>规划基线</x:v>
      </x:c>
      <x:c r="B4" s="12" t="str">
        <x:v>V2.3（全国城市在线关怀单日完整闭环；北京为主演示与离线容灾案例）</x:v>
      </x:c>
      <x:c r="C4" s="12"/>
      <x:c r="D4" s="12"/>
      <x:c r="E4" s="12"/>
      <x:c r="F4" s="12"/>
      <x:c r="G4" s="12"/>
      <x:c r="H4" s="12"/>
    </x:row>
    <x:row r="5" ht="28" customHeight="1">
      <x:c r="A5" s="8" t="str">
        <x:v>学校模板</x:v>
      </x:c>
      <x:c r="B5" s="12" t="str">
        <x:v>产品待办列表（总需求）.xls</x:v>
      </x:c>
      <x:c r="C5" s="12"/>
      <x:c r="D5" s="12"/>
      <x:c r="E5" s="12"/>
      <x:c r="F5" s="12"/>
      <x:c r="G5" s="12"/>
      <x:c r="H5" s="12"/>
    </x:row>
    <x:row r="6" ht="28" customHeight="1">
      <x:c r="A6" s="8" t="str">
        <x:v>项目规划</x:v>
      </x:c>
      <x:c r="B6" s="12" t="str">
        <x:v>行知旅伴_旅行规划Agent_Scrum项目规划_V2.3.docx</x:v>
      </x:c>
      <x:c r="C6" s="12"/>
      <x:c r="D6" s="12"/>
      <x:c r="E6" s="12"/>
      <x:c r="F6" s="12"/>
      <x:c r="G6" s="12"/>
      <x:c r="H6" s="12"/>
    </x:row>
    <x:row r="7" ht="28" customHeight="1">
      <x:c r="A7" s="8" t="str">
        <x:v>生成日期</x:v>
      </x:c>
      <x:c r="B7" s="12" t="str">
        <x:v>2026-08-24</x:v>
      </x:c>
      <x:c r="C7" s="12"/>
      <x:c r="D7" s="12"/>
      <x:c r="E7" s="12"/>
      <x:c r="F7" s="12"/>
      <x:c r="G7" s="12"/>
      <x:c r="H7" s="12"/>
    </x:row>
    <x:row r="9">
      <x:c r="A9" s="27" t="str">
        <x:v>本工作簿以 V2.2 产品待办列表为直接基线，依据已验收的 V2.3 项目书更新；保留学校模板的“版权说明、产品Backlog、团队速率”三表结构、公式、样式、数据验证及负责人列。四位成员均为开发者：陈梓元兼任 PO，王敬博兼任 SM，张琪与林粲涵兼任 QA；兼任职责不形成固定技术岗位或固定互评搭档。原始 .xls、V2.2 工作簿和 V2.3 项目书均未修改。</x:v>
      </x:c>
      <x:c r="B9" s="28"/>
      <x:c r="C9" s="28"/>
      <x:c r="D9" s="28"/>
      <x:c r="E9" s="28"/>
      <x:c r="F9" s="28"/>
      <x:c r="G9" s="28"/>
      <x:c r="H9" s="29"/>
    </x:row>
    <x:row r="10">
      <x:c r="A10" s="30"/>
      <x:c r="B10" s="31"/>
      <x:c r="C10" s="31"/>
      <x:c r="D10" s="31"/>
      <x:c r="E10" s="31"/>
      <x:c r="F10" s="31"/>
      <x:c r="G10" s="31"/>
      <x:c r="H10" s="32"/>
    </x:row>
    <x:row r="12">
      <x:c r="A12" s="33" t="str">
        <x:v>学校案例模板版权说明沿用原文件；本表仅为课程项目填写副本。</x:v>
      </x:c>
      <x:c r="B12" s="33"/>
      <x:c r="C12" s="33"/>
      <x:c r="D12" s="33"/>
      <x:c r="E12" s="33"/>
      <x:c r="F12" s="33"/>
      <x:c r="G12" s="33"/>
      <x:c r="H12" s="33"/>
    </x:row>
  </x:sheetData>
  <x:mergeCells>
    <x:mergeCell ref="A1:H1"/>
    <x:mergeCell ref="B3:H3"/>
    <x:mergeCell ref="B4:H4"/>
    <x:mergeCell ref="B5:H5"/>
    <x:mergeCell ref="B6:H6"/>
    <x:mergeCell ref="B7:H7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4" hidden="0" customWidth="1"/>
    <x:col min="3" max="3" width="13" hidden="0" customWidth="1"/>
    <x:col min="4" max="4" width="15" hidden="0" customWidth="1"/>
    <x:col min="5" max="5" width="44" hidden="0" customWidth="1"/>
    <x:col min="6" max="6" width="62" hidden="0" customWidth="1"/>
    <x:col min="7" max="7" width="9" hidden="0" customWidth="1"/>
    <x:col min="8" max="8" width="10" hidden="0" customWidth="1"/>
    <x:col min="9" max="9" width="12" hidden="0" customWidth="1"/>
    <x:col min="10" max="10" width="13" hidden="0" customWidth="1"/>
    <x:col min="11" max="11" width="10" hidden="0" customWidth="1"/>
    <x:col min="12" max="12" width="13" hidden="0" customWidth="1"/>
    <x:col min="13" max="13" width="10" hidden="0" customWidth="1"/>
  </x:cols>
  <x:sheetData>
    <x:row r="1" ht="27" customHeight="1">
      <x:c r="A1" s="53" t="str">
        <x:v>产品
Backlog</x:v>
      </x:c>
      <x:c r="B1" s="54"/>
      <x:c r="C1" s="63" t="str">
        <x:v>产品（项目）名称</x:v>
      </x:c>
      <x:c r="D1" s="63"/>
      <x:c r="E1" s="67" t="str">
        <x:v>行知旅伴——面向国内城市的预算约束与关怀出行 AI Agent</x:v>
      </x:c>
      <x:c r="F1" s="67"/>
      <x:c r="G1" s="67"/>
      <x:c r="H1" s="67"/>
      <x:c r="I1" s="67"/>
      <x:c r="J1" s="72" t="str">
        <x:v>总故事点</x:v>
      </x:c>
      <x:c r="K1" s="72"/>
      <x:c r="L1" s="77" t="n">
        <x:f>SUM(L7:L41)</x:f>
        <x:v>146</x:v>
      </x:c>
      <x:c r="M1" s="77" t="str">
        <x:v>SP</x:v>
      </x:c>
    </x:row>
    <x:row r="2" ht="27" customHeight="1">
      <x:c r="A2" s="55"/>
      <x:c r="B2" s="56"/>
      <x:c r="C2" s="63" t="str">
        <x:v>产品负责人</x:v>
      </x:c>
      <x:c r="D2" s="63"/>
      <x:c r="E2" s="67" t="str">
        <x:v>第____组 / PO：陈梓元（四人均为开发，PO/SM/QA 仅兼任）</x:v>
      </x:c>
      <x:c r="F2" s="67"/>
      <x:c r="G2" s="67"/>
      <x:c r="H2" s="67"/>
      <x:c r="I2" s="67"/>
      <x:c r="J2" s="72" t="str">
        <x:v>Sprint 1</x:v>
      </x:c>
      <x:c r="K2" s="72"/>
      <x:c r="L2" s="77" t="n">
        <x:f>SUMIF(H7:H41,"Sprint1",L7:L41)</x:f>
        <x:v>47</x:v>
      </x:c>
      <x:c r="M2" s="77" t="str">
        <x:v>SP</x:v>
      </x:c>
    </x:row>
    <x:row r="3" ht="27" customHeight="1">
      <x:c r="A3" s="55"/>
      <x:c r="B3" s="56"/>
      <x:c r="C3" s="63" t="str">
        <x:v>规划版本</x:v>
      </x:c>
      <x:c r="D3" s="63"/>
      <x:c r="E3" s="67" t="str">
        <x:v>V2.3（关怀单人完整 Agent → 基础多人公平与现实执行证据 → 质量交付）</x:v>
      </x:c>
      <x:c r="F3" s="67"/>
      <x:c r="G3" s="67"/>
      <x:c r="H3" s="67"/>
      <x:c r="I3" s="67"/>
      <x:c r="J3" s="72" t="str">
        <x:v>Sprint 2</x:v>
      </x:c>
      <x:c r="K3" s="72"/>
      <x:c r="L3" s="77" t="n">
        <x:f>SUMIF(H7:H41,"Sprint2",L7:L41)</x:f>
        <x:v>36</x:v>
      </x:c>
      <x:c r="M3" s="77" t="str">
        <x:v>SP</x:v>
      </x:c>
    </x:row>
    <x:row r="4" ht="27" customHeight="1">
      <x:c r="A4" s="57"/>
      <x:c r="B4" s="58"/>
      <x:c r="C4" s="63" t="str">
        <x:v>冻结范围</x:v>
      </x:c>
      <x:c r="D4" s="63"/>
      <x:c r="E4" s="67" t="str">
        <x:v>全国城市在线单日闭环｜单人 + 2—3 人｜公网响应式 Web｜3 个 Sprint｜三城完整链 + 两城烟测</x:v>
      </x:c>
      <x:c r="F4" s="67"/>
      <x:c r="G4" s="67"/>
      <x:c r="H4" s="67"/>
      <x:c r="I4" s="67"/>
      <x:c r="J4" s="72" t="str">
        <x:v>Sprint 3</x:v>
      </x:c>
      <x:c r="K4" s="72"/>
      <x:c r="L4" s="77" t="n">
        <x:f>SUMIF(H7:H41,"Sprint3",L7:L41)</x:f>
        <x:v>51</x:v>
      </x:c>
      <x:c r="M4" s="77" t="str">
        <x:v>SP</x:v>
      </x:c>
    </x:row>
    <x:row r="5" ht="52" customHeight="1">
      <x:c r="A5" s="85" t="str">
        <x:v>填写口径：V2.3 正式 PBI-01～PBI-20 拆为 30 条可估算子故事；负责人=主责开发者，四人均参与开发，PO/SM/QA 仅为兼任职责，不设置固定互评搭档。三个 Sprint 计划 SP 为 115，P1/Future 候选为 12；Sprint 1 开发容量另按 48 人时管理，SP 不等于工时。明确不做持续 GPS、视频剪辑、全国无障碍保证、优惠券/跑腿和第三方批量抓取。</x:v>
      </x:c>
      <x:c r="B5" s="86"/>
      <x:c r="C5" s="86"/>
      <x:c r="D5" s="86"/>
      <x:c r="E5" s="86" t="str">
        <x:v>填写口径：V2.3 正式 PBI-01～PBI-20 拆为 30 条可估算子故事；本扩展副本新增 PBI-21-A～PBI-24-B 五条 12小时 Alpha 范围故事，仅作为 Sprint3 最小可演示闭环，不伪装为完整商业版本。负责人=主责开发者，四人均参与开发，PO/SM/QA 仅为兼任职责，不设置固定互评搭档。三个 Sprint 计划 SP 随新增 Alpha 范围自动汇总；P1/Future 候选仍不计入核心承诺速率。</x:v>
      </x:c>
      <x:c r="F5" s="86"/>
      <x:c r="G5" s="86"/>
      <x:c r="H5" s="86"/>
      <x:c r="I5" s="87"/>
      <x:c r="J5" s="72" t="str">
        <x:v>P1 + Future</x:v>
      </x:c>
      <x:c r="K5" s="72"/>
      <x:c r="L5" s="77" t="n">
        <x:f>SUMIF(H7:H41,"P1",L7:L41)+SUMIF(H7:H41,"Future",L7:L41)</x:f>
        <x:v>12</x:v>
      </x:c>
      <x:c r="M5" s="77" t="str">
        <x:v>SP</x:v>
      </x:c>
    </x:row>
    <x:row r="6" ht="44" customHeight="1">
      <x:c r="A6" s="92" t="str">
        <x:v>PBI_ID</x:v>
      </x:c>
      <x:c r="B6" s="92" t="str">
        <x:v>优先级
（顺序 / MoSCoW）</x:v>
      </x:c>
      <x:c r="C6" s="92" t="str">
        <x:v>Backlog类型</x:v>
      </x:c>
      <x:c r="D6" s="92" t="str">
        <x:v>功能性/非功能性</x:v>
      </x:c>
      <x:c r="E6" s="92" t="str">
        <x:v>用户故事（产品Backlog条目描述）</x:v>
      </x:c>
      <x:c r="F6" s="92" t="str">
        <x:v>验收条件（满足条件）</x:v>
      </x:c>
      <x:c r="G6" s="92" t="str">
        <x:v>复杂度</x:v>
      </x:c>
      <x:c r="H6" s="92" t="str">
        <x:v>Sprint</x:v>
      </x:c>
      <x:c r="I6" s="92" t="str">
        <x:v>负责人</x:v>
      </x:c>
      <x:c r="J6" s="92" t="str">
        <x:v>初始工作量估计
（用户故事点）</x:v>
      </x:c>
      <x:c r="K6" s="92" t="str">
        <x:v>调整系数</x:v>
      </x:c>
      <x:c r="L6" s="92" t="str">
        <x:v>调整后工作量估计
（用户故事点）</x:v>
      </x:c>
      <x:c r="M6" s="92" t="str">
        <x:v>状态</x:v>
      </x:c>
    </x:row>
    <x:row r="7" ht="126" customHeight="1">
      <x:c r="A7" s="94" t="str">
        <x:v>PBI-01-A</x:v>
      </x:c>
      <x:c r="B7" s="94" t="str">
        <x:v>100 / Must</x:v>
      </x:c>
      <x:c r="C7" s="94" t="str">
        <x:v>新需求</x:v>
      </x:c>
      <x:c r="D7" s="94" t="str">
        <x:v>功能性</x:v>
      </x:c>
      <x:c r="E7" s="93" t="str">
        <x:v>PBI-01｜E1 全国城市需求与统一行程模型
作为单人旅行者，我想选择任意可解析的国内目标城市并用自然语言描述日期、时间、预算、兴趣和地点限制，以便 Agent 形成统一且可校验的单日行程输入。</x:v>
      </x:c>
      <x:c r="F7" s="93" t="str">
        <x:v>AC-01-A
Given 新建单人行程；When 选择目标城市并输入自然语言需求；Then 系统生成 CityContext（cityCode、cityName、中心点、Provider 配置）、participants[0]、days[0]、预算与时间窗；缺少或歧义字段逐项提示确认；模型输出必须通过 Pydantic/JSON Schema，任何页面、缓存键或接口不得写死北京。
依赖/说明：陈梓元主责 Agent 后端与结构化解析；北京只作主演示、黄金测试与离线容灾，不是能力边界。</x:v>
      </x:c>
      <x:c r="G7" s="94" t="str">
        <x:f>IF(J7&lt;=2,"低",IF(J7&lt;=5,"中","高"))</x:f>
        <x:v>中</x:v>
      </x:c>
      <x:c r="H7" s="94" t="str">
        <x:v>Sprint1</x:v>
      </x:c>
      <x:c r="I7" s="94" t="str">
        <x:v>陈梓元</x:v>
      </x:c>
      <x:c r="J7" s="95" t="n">
        <x:v>3</x:v>
      </x:c>
      <x:c r="K7" s="96" t="n">
        <x:v>1</x:v>
      </x:c>
      <x:c r="L7" s="95" t="n">
        <x:f>J7*K7</x:f>
        <x:v>3</x:v>
      </x:c>
      <x:c r="M7" s="94" t="str">
        <x:v>已完成</x:v>
      </x:c>
    </x:row>
    <x:row r="8" ht="126" customHeight="1">
      <x:c r="A8" s="94" t="str">
        <x:v>PBI-01-B</x:v>
      </x:c>
      <x:c r="B8" s="94" t="str">
        <x:v>200 / Must</x:v>
      </x:c>
      <x:c r="C8" s="94" t="str">
        <x:v>新需求</x:v>
      </x:c>
      <x:c r="D8" s="94" t="str">
        <x:v>功能性</x:v>
      </x:c>
      <x:c r="E8" s="93" t="str">
        <x:v>PBI-01｜E1 AssistanceProfile 与约束确认
作为有亲子、低体力或行动辅助需求的旅行者，我想查看、修改并确认 AssistanceProfile，以便关怀需求在规划前成为明确输入。</x:v>
      </x:c>
      <x:c r="F8" s="93" t="str">
        <x:v>AC-01-B
Given 已录入普通/亲子/低体力/行动辅助 Beta 需求；When 打开确认页；Then 可查看和修改 childAge、walkLimits、maxTransfers、restInterval、napWindow、avoidStairs 等字段；修改后返回 DRAFT；全部必填约束确认后才进入 CONSTRAINT_CONFIRMED 并允许规划。
依赖/说明：林粲涵主责确认页与接口联调；从 Sprint 1 起即使用 participants[]，单人是数组长度为 1 的特例。</x:v>
      </x:c>
      <x:c r="G8" s="94" t="str">
        <x:f>IF(J8&lt;=2,"低",IF(J8&lt;=5,"中","高"))</x:f>
        <x:v>中</x:v>
      </x:c>
      <x:c r="H8" s="94" t="str">
        <x:v>Sprint1</x:v>
      </x:c>
      <x:c r="I8" s="94" t="str">
        <x:v>林粲涵</x:v>
      </x:c>
      <x:c r="J8" s="95" t="n">
        <x:v>3</x:v>
      </x:c>
      <x:c r="K8" s="96" t="n">
        <x:v>1</x:v>
      </x:c>
      <x:c r="L8" s="95" t="n">
        <x:f>J8*K8</x:f>
        <x:v>3</x:v>
      </x:c>
      <x:c r="M8" s="94" t="str">
        <x:v>已完成</x:v>
      </x:c>
    </x:row>
    <x:row r="9" ht="126" customHeight="1">
      <x:c r="A9" s="94" t="str">
        <x:v>PBI-02-A</x:v>
      </x:c>
      <x:c r="B9" s="94" t="str">
        <x:v>300 / Must</x:v>
      </x:c>
      <x:c r="C9" s="94" t="str">
        <x:v>新需求</x:v>
      </x:c>
      <x:c r="D9" s="94" t="str">
        <x:v>功能性</x:v>
      </x:c>
      <x:c r="E9" s="93" t="str">
        <x:v>PBI-02｜E2 城市地点、路线与可信来源
作为旅行者，我想按目标城市查询地点、路线与可获得的价格事实，以便计划基于同城且可追溯的数据。</x:v>
      </x:c>
      <x:c r="F9" s="93" t="str">
        <x:v>AC-02-A
Given 已确认 CityContext；When 查询候选地点和路线；Then cityCode 同时进入 Provider 请求与缓存键，结果不得跨城；地点、路线、价格参考带来源、fetchedAt 及“在线获取/已核验缓存/用户确认/估算/未知待确认”状态；unknown 价格不得按 0 元参与预算；在线失败只读取对应城市缓存。
依赖/说明：张琪主责高德/城市适配、字段归一化与缓存隔离；不建设全国人工 POI、价格或无障碍设施数据库。</x:v>
      </x:c>
      <x:c r="G9" s="94" t="str">
        <x:f>IF(J9&lt;=2,"低",IF(J9&lt;=5,"中","高"))</x:f>
        <x:v>中</x:v>
      </x:c>
      <x:c r="H9" s="94" t="str">
        <x:v>Sprint1</x:v>
      </x:c>
      <x:c r="I9" s="94" t="str">
        <x:v>张琪</x:v>
      </x:c>
      <x:c r="J9" s="95" t="n">
        <x:v>5</x:v>
      </x:c>
      <x:c r="K9" s="96" t="n">
        <x:v>1</x:v>
      </x:c>
      <x:c r="L9" s="95" t="n">
        <x:f>J9*K9</x:f>
        <x:v>5</x:v>
      </x:c>
      <x:c r="M9" s="94" t="str">
        <x:v>已完成</x:v>
      </x:c>
    </x:row>
    <x:row r="10" ht="126" customHeight="1">
      <x:c r="A10" s="94" t="str">
        <x:v>PBI-03-A</x:v>
      </x:c>
      <x:c r="B10" s="94" t="str">
        <x:v>400 / Must</x:v>
      </x:c>
      <x:c r="C10" s="94" t="str">
        <x:v>新需求</x:v>
      </x:c>
      <x:c r="D10" s="94" t="str">
        <x:v>功能性</x:v>
      </x:c>
      <x:c r="E10" s="93" t="str">
        <x:v>PBI-03｜E3 关怀约束编译
作为有关怀需求的旅行者，我想让系统把 AssistanceProfile 转成可计算规则，以便少走路、少换乘、定时休息、午休和返程要求真正参与规划。</x:v>
      </x:c>
      <x:c r="F10" s="93" t="str">
        <x:v>AC-03-A
Given 一份已确认 AssistanceProfile；When 执行关怀约束编译；Then 输出带 scope 与 hardness 的步行、换乘、休息间隔、午休窗、返程和避阶梯 Constraint；同一输入结果可复现；无对应需求时不凭空增加限制；编译失败返回具体字段并停止进入规划。
依赖/说明：陈梓元主责关怀约束编译服务及 Agent 工具接入；LLM 只解释，不直接改写确定性约束。</x:v>
      </x:c>
      <x:c r="G10" s="94" t="str">
        <x:f>IF(J10&lt;=2,"低",IF(J10&lt;=5,"中","高"))</x:f>
        <x:v>中</x:v>
      </x:c>
      <x:c r="H10" s="94" t="str">
        <x:v>Sprint1</x:v>
      </x:c>
      <x:c r="I10" s="94" t="str">
        <x:v>陈梓元</x:v>
      </x:c>
      <x:c r="J10" s="95" t="n">
        <x:v>5</x:v>
      </x:c>
      <x:c r="K10" s="96" t="n">
        <x:v>1</x:v>
      </x:c>
      <x:c r="L10" s="95" t="n">
        <x:f>J10*K10</x:f>
        <x:v>5</x:v>
      </x:c>
      <x:c r="M10" s="94" t="str">
        <x:v>已完成</x:v>
      </x:c>
    </x:row>
    <x:row r="11" ht="126" customHeight="1">
      <x:c r="A11" s="94" t="str">
        <x:v>PBI-03-B</x:v>
      </x:c>
      <x:c r="B11" s="94" t="str">
        <x:v>500 / Must</x:v>
      </x:c>
      <x:c r="C11" s="94" t="str">
        <x:v>新需求</x:v>
      </x:c>
      <x:c r="D11" s="94" t="str">
        <x:v>功能性</x:v>
      </x:c>
      <x:c r="E11" s="93" t="str">
        <x:v>PBI-03｜E3 路线风险与设施证据
作为行动辅助或低体力旅行者，我想在确认计划前看到路线风险和设施证据，以便避免已知不适合的路段。</x:v>
      </x:c>
      <x:c r="F11" s="93" t="str">
        <x:v>AC-03-B
Given 路线快照和关怀约束；When 执行路线风险校验；Then 已知阶梯路线在行动辅助 Beta 下判为 FAIL，超出步行/换乘上限或休息要求时指出路段与规则；电梯、坡道、母婴室、无障碍入口等缺乏证据时统一标记 NEEDS_CONFIRMATION，不得宣称已通过或保证全国无障碍。
依赖/说明：林粲涵主责路线关怀分析与规则测试；只对可计算或有来源的字段作确定性判断。</x:v>
      </x:c>
      <x:c r="G11" s="94" t="str">
        <x:f>IF(J11&lt;=2,"低",IF(J11&lt;=5,"中","高"))</x:f>
        <x:v>中</x:v>
      </x:c>
      <x:c r="H11" s="94" t="str">
        <x:v>Sprint1</x:v>
      </x:c>
      <x:c r="I11" s="94" t="str">
        <x:v>林粲涵</x:v>
      </x:c>
      <x:c r="J11" s="95" t="n">
        <x:v>5</x:v>
      </x:c>
      <x:c r="K11" s="96" t="n">
        <x:v>1</x:v>
      </x:c>
      <x:c r="L11" s="95" t="n">
        <x:f>J11*K11</x:f>
        <x:v>5</x:v>
      </x:c>
      <x:c r="M11" s="94" t="str">
        <x:v>已完成</x:v>
      </x:c>
    </x:row>
    <x:row r="12" ht="126" customHeight="1">
      <x:c r="A12" s="94" t="str">
        <x:v>PBI-04-A</x:v>
      </x:c>
      <x:c r="B12" s="94" t="str">
        <x:v>600 / Must</x:v>
      </x:c>
      <x:c r="C12" s="94" t="str">
        <x:v>新需求</x:v>
      </x:c>
      <x:c r="D12" s="94" t="str">
        <x:v>功能性</x:v>
      </x:c>
      <x:c r="E12" s="93" t="str">
        <x:v>PBI-04｜E4 唯一推荐方案与确定性校验
作为单人旅行者，我想得到一个经过确定性校验的推荐方案，以便在有限时间内直接判断这一天是否可执行。</x:v>
      </x:c>
      <x:c r="F12" s="93" t="str">
        <x:v>AC-04-A
Given 同城地点、路线与已确认约束；When 生成推荐；Then P0 只输出一个包含 3—4 个任务的方案，任务有顺序、时间、停留、交通和费用；预算、时间窗、路线连续性、必去/拒绝、步行、换乘、休息与返程硬约束全部 PASS 才可推荐；金额以整数分复算，unknown 单独预警。
依赖/说明：林粲涵主责候选规划、预算与校验；均衡/省钱双方案属于 PBI-18 的 P1/Should，不进入首轮闭环。</x:v>
      </x:c>
      <x:c r="G12" s="94" t="str">
        <x:f>IF(J12&lt;=2,"低",IF(J12&lt;=5,"中","高"))</x:f>
        <x:v>中</x:v>
      </x:c>
      <x:c r="H12" s="94" t="str">
        <x:v>Sprint1</x:v>
      </x:c>
      <x:c r="I12" s="94" t="str">
        <x:v>林粲涵</x:v>
      </x:c>
      <x:c r="J12" s="95" t="n">
        <x:v>5</x:v>
      </x:c>
      <x:c r="K12" s="96" t="n">
        <x:v>1</x:v>
      </x:c>
      <x:c r="L12" s="95" t="n">
        <x:f>J12*K12</x:f>
        <x:v>5</x:v>
      </x:c>
      <x:c r="M12" s="94" t="str">
        <x:v>已完成</x:v>
      </x:c>
    </x:row>
    <x:row r="13" ht="126" customHeight="1">
      <x:c r="A13" s="94" t="str">
        <x:v>PBI-04-B</x:v>
      </x:c>
      <x:c r="B13" s="94" t="str">
        <x:v>700 / Must</x:v>
      </x:c>
      <x:c r="C13" s="94" t="str">
        <x:v>新需求</x:v>
      </x:c>
      <x:c r="D13" s="94" t="str">
        <x:v>功能性</x:v>
      </x:c>
      <x:c r="E13" s="93" t="str">
        <x:v>PBI-04｜E4 Plan V1 确认与状态守卫
作为旅行者，我想确认并锁定 Plan V1，以便执行期间始终存在唯一、可恢复的当前版本。</x:v>
      </x:c>
      <x:c r="F13" s="93" t="str">
        <x:v>AC-04-B
Given 推荐方案已通过校验；When 用户确认；Then 保存不可变 Plan V1 与约束/来源快照，并将其设为同一 Trip 唯一 CURRENT；未确认方案保持 PROPOSED 且不可执行；刷新后任务、金额、cityCode 与 days[0] 均可恢复；非法状态转换被拒绝。
依赖/说明：张琪主责 PlanVersion 持久化与状态守卫测试；计划版本生成后不得原地修改。</x:v>
      </x:c>
      <x:c r="G13" s="94" t="str">
        <x:f>IF(J13&lt;=2,"低",IF(J13&lt;=5,"中","高"))</x:f>
        <x:v>中</x:v>
      </x:c>
      <x:c r="H13" s="94" t="str">
        <x:v>Sprint1</x:v>
      </x:c>
      <x:c r="I13" s="94" t="str">
        <x:v>张琪</x:v>
      </x:c>
      <x:c r="J13" s="95" t="n">
        <x:v>3</x:v>
      </x:c>
      <x:c r="K13" s="96" t="n">
        <x:v>1</x:v>
      </x:c>
      <x:c r="L13" s="95" t="n">
        <x:f>J13*K13</x:f>
        <x:v>3</x:v>
      </x:c>
      <x:c r="M13" s="94" t="str">
        <x:v>已完成</x:v>
      </x:c>
    </x:row>
    <x:row r="14" ht="126" customHeight="1">
      <x:c r="A14" s="94" t="str">
        <x:v>PBI-05-A</x:v>
      </x:c>
      <x:c r="B14" s="94" t="str">
        <x:v>800 / Must</x:v>
      </x:c>
      <x:c r="C14" s="94" t="str">
        <x:v>新需求</x:v>
      </x:c>
      <x:c r="D14" s="94" t="str">
        <x:v>功能性</x:v>
      </x:c>
      <x:c r="E14" s="93" t="str">
        <x:v>PBI-05｜E5 执行事件与实际消费
作为正在旅行的用户，我想开始/完成/跳过任务并记录实际消费，以便系统从现实执行状态计算剩余预算与进度。</x:v>
      </x:c>
      <x:c r="F14" s="93" t="str">
        <x:v>AC-05-A
Given 当前版本为 Plan V1；When 开始执行、完成或跳过任务并记录实际消费；Then 每次操作生成绑定 taskId 的 ExecutionEvent，金额以整数分保存，剩余预算可复算；重复提交不产生重复事件；刷新后事件、当前任务与已完成状态可恢复。
依赖/说明：王敬博主责手机执行页和事件接口联调；到达定位、照片、迟到与疲劳事件在 Sprint 2 接入同一事件模型。</x:v>
      </x:c>
      <x:c r="G14" s="94" t="str">
        <x:f>IF(J14&lt;=2,"低",IF(J14&lt;=5,"中","高"))</x:f>
        <x:v>中</x:v>
      </x:c>
      <x:c r="H14" s="94" t="str">
        <x:v>Sprint1</x:v>
      </x:c>
      <x:c r="I14" s="94" t="str">
        <x:v>王敬博</x:v>
      </x:c>
      <x:c r="J14" s="95" t="n">
        <x:v>3</x:v>
      </x:c>
      <x:c r="K14" s="96" t="n">
        <x:v>1</x:v>
      </x:c>
      <x:c r="L14" s="95" t="n">
        <x:f>J14*K14</x:f>
        <x:v>3</x:v>
      </x:c>
      <x:c r="M14" s="94" t="str">
        <x:v>已完成</x:v>
      </x:c>
    </x:row>
    <x:row r="15" ht="126" customHeight="1">
      <x:c r="A15" s="94" t="str">
        <x:v>PBI-05-B</x:v>
      </x:c>
      <x:c r="B15" s="94" t="str">
        <x:v>900 / Must</x:v>
      </x:c>
      <x:c r="C15" s="94" t="str">
        <x:v>新需求</x:v>
      </x:c>
      <x:c r="D15" s="94" t="str">
        <x:v>功能性</x:v>
      </x:c>
      <x:c r="E15" s="93" t="str">
        <x:v>PBI-05｜E5 最小扰动 Plan V2
作为执行中的旅行者，我想在实际消费改变预算后得到只调整未完成后缀的 Plan V2，以便已完成安排不被推翻。</x:v>
      </x:c>
      <x:c r="F15" s="93" t="str">
        <x:v>AC-05-B
Given 已执行至少一个任务且实际消费使剩余约束变化；When 请求重规划；Then 已完成和用户锁定任务保留率 100%，只调整未完成后缀；新方案再次通过预算、时间、路线和关怀校验；无可行解时说明受影响规则与可放宽项，不生成半更新的 V2。
依赖/说明：陈梓元主责执行状态推导、重规划编排与 Agent 后端；优先减少任务修改数量，再比较满意度损失。</x:v>
      </x:c>
      <x:c r="G15" s="94" t="str">
        <x:f>IF(J15&lt;=2,"低",IF(J15&lt;=5,"中","高"))</x:f>
        <x:v>中</x:v>
      </x:c>
      <x:c r="H15" s="94" t="str">
        <x:v>Sprint1</x:v>
      </x:c>
      <x:c r="I15" s="94" t="str">
        <x:v>陈梓元</x:v>
      </x:c>
      <x:c r="J15" s="95" t="n">
        <x:v>5</x:v>
      </x:c>
      <x:c r="K15" s="96" t="n">
        <x:v>1</x:v>
      </x:c>
      <x:c r="L15" s="95" t="n">
        <x:f>J15*K15</x:f>
        <x:v>5</x:v>
      </x:c>
      <x:c r="M15" s="94" t="str">
        <x:v>已完成</x:v>
      </x:c>
    </x:row>
    <x:row r="16" ht="126" customHeight="1">
      <x:c r="A16" s="94" t="str">
        <x:v>PBI-05-C</x:v>
      </x:c>
      <x:c r="B16" s="94" t="str">
        <x:v>1000 / Must</x:v>
      </x:c>
      <x:c r="C16" s="94" t="str">
        <x:v>新需求</x:v>
      </x:c>
      <x:c r="D16" s="94" t="str">
        <x:v>功能性</x:v>
      </x:c>
      <x:c r="E16" s="93" t="str">
        <x:v>PBI-05｜E5 V1/V2 Diff 与接受拒绝
作为旅行者，我想比较并接受或拒绝 Plan V2，以便变更在我明确确认前不会覆盖当前计划。</x:v>
      </x:c>
      <x:c r="F16" s="93" t="str">
        <x:v>AC-05-C
Given 已生成候选 Plan V2；When 查看 Diff；Then 地点、时间、路线、费用与关怀指标的保留/删除/新增变化清晰可见；接受后旧 CURRENT 变为 SUPERSEDED 且 V2 成为唯一 CURRENT；拒绝后 V2 标为 REJECTED，当前版本及执行状态保持不变。
依赖/说明：张琪主责 Diff、版本切换与接受/拒绝回归；LLM 不得直接写业务状态。</x:v>
      </x:c>
      <x:c r="G16" s="94" t="str">
        <x:f>IF(J16&lt;=2,"低",IF(J16&lt;=5,"中","高"))</x:f>
        <x:v>中</x:v>
      </x:c>
      <x:c r="H16" s="94" t="str">
        <x:v>Sprint1</x:v>
      </x:c>
      <x:c r="I16" s="94" t="str">
        <x:v>张琪</x:v>
      </x:c>
      <x:c r="J16" s="95" t="n">
        <x:v>3</x:v>
      </x:c>
      <x:c r="K16" s="96" t="n">
        <x:v>1</x:v>
      </x:c>
      <x:c r="L16" s="95" t="n">
        <x:f>J16*K16</x:f>
        <x:v>3</x:v>
      </x:c>
      <x:c r="M16" s="94" t="str">
        <x:v>已完成</x:v>
      </x:c>
    </x:row>
    <x:row r="17" ht="126" customHeight="1">
      <x:c r="A17" s="94" t="str">
        <x:v>PBI-06-A</x:v>
      </x:c>
      <x:c r="B17" s="94" t="str">
        <x:v>1100 / Must</x:v>
      </x:c>
      <x:c r="C17" s="94" t="str">
        <x:v>新需求</x:v>
      </x:c>
      <x:c r="D17" s="94" t="str">
        <x:v>功能性</x:v>
      </x:c>
      <x:c r="E17" s="93" t="str">
        <x:v>PBI-06｜E6 单人基础总结
作为完成旅行的单人用户，我想查看基础行程总结，以便核对计划与实际费用、任务完成情况和版本变化。</x:v>
      </x:c>
      <x:c r="F17" s="93" t="str">
        <x:v>AC-06-A
Given 行程进入 COMPLETED；When 打开基础总结；Then 展示计划费用、实际费用、差额、完成/跳过任务、当前及历史版本变化，并能追溯到对应事件；无 Plan V2 时明确显示仅执行 V1。Sprint 1 不要求照片时间线。
依赖/说明：王敬博主责基础总结界面；包含任务照片的完整旅行回忆页由 PBI-12 在 Sprint 2 完成。</x:v>
      </x:c>
      <x:c r="G17" s="94" t="str">
        <x:f>IF(J17&lt;=2,"低",IF(J17&lt;=5,"中","高"))</x:f>
        <x:v>低</x:v>
      </x:c>
      <x:c r="H17" s="94" t="str">
        <x:v>Sprint1</x:v>
      </x:c>
      <x:c r="I17" s="94" t="str">
        <x:v>王敬博</x:v>
      </x:c>
      <x:c r="J17" s="95" t="n">
        <x:v>2</x:v>
      </x:c>
      <x:c r="K17" s="96" t="n">
        <x:v>1</x:v>
      </x:c>
      <x:c r="L17" s="95" t="n">
        <x:f>J17*K17</x:f>
        <x:v>2</x:v>
      </x:c>
      <x:c r="M17" s="94" t="str">
        <x:v>已完成</x:v>
      </x:c>
    </x:row>
    <x:row r="18" ht="126" customHeight="1">
      <x:c r="A18" s="94" t="str">
        <x:v>PBI-13-S1</x:v>
      </x:c>
      <x:c r="B18" s="94" t="str">
        <x:v>1200 / Must</x:v>
      </x:c>
      <x:c r="C18" s="94" t="str">
        <x:v>技术改进</x:v>
      </x:c>
      <x:c r="D18" s="94" t="str">
        <x:v>非功能性</x:v>
      </x:c>
      <x:c r="E18" s="93" t="str">
        <x:v>PBI-13｜E13 公网响应式与视觉系统（S1）
作为评审者，我想通过同一公网 HTTPS 地址在电脑和手机完成关怀单人完整 Agent，以便第一次 Review 就看到真实纵向闭环。</x:v>
      </x:c>
      <x:c r="F18" s="93" t="str">
        <x:v>AC-13-S1
Given 公网地址和固定祖孙/亲子北京案例；When 分别在桌面端与 375px 手机端演示；Then 首页、需求/关怀确认、Agent 过程、计划工作台、手机执行、V1/V2 Diff 与基础总结风格一致且无横向滚动；90 秒内跑通 AssistanceProfile→Plan V1→实际多花 50 元→Plan V2→接受或拒绝→总结。
依赖/说明：王敬博主责设计令牌、响应式骨架、部署与联调；Sprint 1 开发容量为 48 人时（4 人×12 小时），SP 仅作相对估算。</x:v>
      </x:c>
      <x:c r="G18" s="94" t="str">
        <x:f>IF(J18&lt;=2,"低",IF(J18&lt;=5,"中","高"))</x:f>
        <x:v>中</x:v>
      </x:c>
      <x:c r="H18" s="94" t="str">
        <x:v>Sprint1</x:v>
      </x:c>
      <x:c r="I18" s="94" t="str">
        <x:v>王敬博</x:v>
      </x:c>
      <x:c r="J18" s="95" t="n">
        <x:v>5</x:v>
      </x:c>
      <x:c r="K18" s="96" t="n">
        <x:v>1</x:v>
      </x:c>
      <x:c r="L18" s="95" t="n">
        <x:f>J18*K18</x:f>
        <x:v>5</x:v>
      </x:c>
      <x:c r="M18" s="94" t="str">
        <x:v>已完成</x:v>
      </x:c>
    </x:row>
    <x:row r="19" ht="126" customHeight="1">
      <x:c r="A19" s="94" t="str">
        <x:v>PBI-07-A</x:v>
      </x:c>
      <x:c r="B19" s="94" t="str">
        <x:v>1300 / Must</x:v>
      </x:c>
      <x:c r="C19" s="94" t="str">
        <x:v>新需求</x:v>
      </x:c>
      <x:c r="D19" s="94" t="str">
        <x:v>功能性</x:v>
      </x:c>
      <x:c r="E19" s="93" t="str">
        <x:v>PBI-07｜E7 2—3 人成员卡与硬冲突
作为结伴行程组织者，我想录入 2—3 张成员卡并检查硬约束冲突，以便在无可行解时知道冲突来自谁、哪条规则以及可放宽项。</x:v>
      </x:c>
      <x:c r="F19" s="93" t="str">
        <x:v>AC-07-A
Given 2—3 名成员各有预算、偏好和 AssistanceProfile；When 组织者确认；Then 保存同一 Trip 的 participants[]，不另建多人模型；时间窗、必去/拒绝、预算、步行、换乘、休息等硬冲突逐条显示 participantId、ruleId 与建议放宽项；硬冲突未解决时不得进入规划。
依赖/说明：陈梓元主责多人 Schema、冲突服务与 Agent 后端；P0 由组织者代表确认，成员链接独立加入属于 PBI-20 Future。</x:v>
      </x:c>
      <x:c r="G19" s="94" t="str">
        <x:f>IF(J19&lt;=2,"低",IF(J19&lt;=5,"中","高"))</x:f>
        <x:v>中</x:v>
      </x:c>
      <x:c r="H19" s="94" t="str">
        <x:v>Sprint2</x:v>
      </x:c>
      <x:c r="I19" s="94" t="str">
        <x:v>陈梓元</x:v>
      </x:c>
      <x:c r="J19" s="95" t="n">
        <x:v>5</x:v>
      </x:c>
      <x:c r="K19" s="96" t="n">
        <x:v>1</x:v>
      </x:c>
      <x:c r="L19" s="95" t="n">
        <x:f>J19*K19</x:f>
        <x:v>5</x:v>
      </x:c>
      <x:c r="M19" s="94" t="str">
        <x:v>基本完成，待最终验收</x:v>
      </x:c>
    </x:row>
    <x:row r="20" ht="126" customHeight="1">
      <x:c r="A20" s="94" t="str">
        <x:v>PBI-08-A</x:v>
      </x:c>
      <x:c r="B20" s="94" t="str">
        <x:v>1400 / Must</x:v>
      </x:c>
      <x:c r="C20" s="94" t="str">
        <x:v>新需求</x:v>
      </x:c>
      <x:c r="D20" s="94" t="str">
        <x:v>功能性</x:v>
      </x:c>
      <x:c r="E20" s="93" t="str">
        <x:v>PBI-08｜E8 公平评分与唯一多人推荐
作为 2—3 人行程组织者，我想得到一个兼顾最低成员满意度的可解释推荐，以便团队知道每个人获得了什么和妥协了什么。</x:v>
      </x:c>
      <x:c r="F20" s="93" t="str">
        <x:v>AC-08-A
Given 至少两个通过硬约束的候选计划；When 计算公平推荐；Then 对每位成员输出 0—100 满意度和可追溯扣分；排序依次最大化 min(uᵢ)、平均满意度，再比较费用与绕路；同输入结果可复现；P0 只输出一个通过校验的推荐方案。
依赖/说明：王敬博主责满意度向量、公平排序与规则测试；双方案比较独立为 PBI-18 P1/Should。</x:v>
      </x:c>
      <x:c r="G20" s="94" t="str">
        <x:f>IF(J20&lt;=2,"低",IF(J20&lt;=5,"中","高"))</x:f>
        <x:v>中</x:v>
      </x:c>
      <x:c r="H20" s="94" t="str">
        <x:v>Sprint2</x:v>
      </x:c>
      <x:c r="I20" s="94" t="str">
        <x:v>王敬博</x:v>
      </x:c>
      <x:c r="J20" s="95" t="n">
        <x:v>5</x:v>
      </x:c>
      <x:c r="K20" s="96" t="n">
        <x:v>1</x:v>
      </x:c>
      <x:c r="L20" s="95" t="n">
        <x:f>J20*K20</x:f>
        <x:v>5</x:v>
      </x:c>
      <x:c r="M20" s="94" t="str">
        <x:v>基本完成，待最终验收</x:v>
      </x:c>
    </x:row>
    <x:row r="21" ht="126" customHeight="1">
      <x:c r="A21" s="94" t="str">
        <x:v>PBI-09-A</x:v>
      </x:c>
      <x:c r="B21" s="94" t="str">
        <x:v>1500 / Must</x:v>
      </x:c>
      <x:c r="C21" s="94" t="str">
        <x:v>新需求</x:v>
      </x:c>
      <x:c r="D21" s="94" t="str">
        <x:v>功能性</x:v>
      </x:c>
      <x:c r="E21" s="93" t="str">
        <x:v>PBI-09｜E9 一次性 GPS 到达辅助确认
作为执行中的旅行者，我想主动获取一次当前位置辅助确认是否到达任务地点，以便减少手工判断又不被持续追踪。</x:v>
      </x:c>
      <x:c r="F21" s="93" t="str">
        <x:v>AC-09-A
Given 当前任务有目标坐标；When 用户点击到达辅助确认；Then 仅本次请求浏览器定位并记录 distance、accuracy、result；accuracy≤100m 且 distance≤max(150m,2×accuracy) 时可自动判为到达附近；拒绝、超时、低精度均进入人工确认且注明来源；不启动后台或持续 GPS 轨迹。
依赖/说明：张琪主责浏览器定位、距离计算与四类降级测试；定位结果只是辅助证据，不承担防作弊。</x:v>
      </x:c>
      <x:c r="G21" s="94" t="str">
        <x:f>IF(J21&lt;=2,"低",IF(J21&lt;=5,"中","高"))</x:f>
        <x:v>中</x:v>
      </x:c>
      <x:c r="H21" s="94" t="str">
        <x:v>Sprint2</x:v>
      </x:c>
      <x:c r="I21" s="94" t="str">
        <x:v>张琪</x:v>
      </x:c>
      <x:c r="J21" s="95" t="n">
        <x:v>5</x:v>
      </x:c>
      <x:c r="K21" s="96" t="n">
        <x:v>1</x:v>
      </x:c>
      <x:c r="L21" s="95" t="n">
        <x:f>J21*K21</x:f>
        <x:v>5</x:v>
      </x:c>
      <x:c r="M21" s="94" t="str">
        <x:v>基本完成，待最终验收</x:v>
      </x:c>
    </x:row>
    <x:row r="22" ht="126" customHeight="1">
      <x:c r="A22" s="94" t="str">
        <x:v>PBI-10-A</x:v>
      </x:c>
      <x:c r="B22" s="94" t="str">
        <x:v>1600 / Must</x:v>
      </x:c>
      <x:c r="C22" s="94" t="str">
        <x:v>新需求</x:v>
      </x:c>
      <x:c r="D22" s="94" t="str">
        <x:v>功能性</x:v>
      </x:c>
      <x:c r="E22" s="93" t="str">
        <x:v>PBI-10｜E10 任务照片与媒体管理
作为执行中的旅行者，我想为任务保存一张照片并可查看或删除，以便留下轻量、可控的旅行证据。</x:v>
      </x:c>
      <x:c r="F22" s="93" t="str">
        <x:v>AC-10-A
Given 正在执行某个任务；When 选择照片；Then 前端重编码压缩至 1.5MB 以下并移除 EXIF，上传后绑定 taskId；每站最多 1 张、全程最多 8 张；支持显示与删除；上传或对象存储失败不阻断任务完成，0 张照片仍可结束行程。
依赖/说明：王敬博主责照片交互、压缩和媒体接口联调；本期不做视频剪辑、AI 识图、身份识别或 EXIF 防伪。</x:v>
      </x:c>
      <x:c r="G22" s="94" t="str">
        <x:f>IF(J22&lt;=2,"低",IF(J22&lt;=5,"中","高"))</x:f>
        <x:v>中</x:v>
      </x:c>
      <x:c r="H22" s="94" t="str">
        <x:v>Sprint2</x:v>
      </x:c>
      <x:c r="I22" s="94" t="str">
        <x:v>王敬博</x:v>
      </x:c>
      <x:c r="J22" s="95" t="n">
        <x:v>5</x:v>
      </x:c>
      <x:c r="K22" s="96" t="n">
        <x:v>1</x:v>
      </x:c>
      <x:c r="L22" s="95" t="n">
        <x:f>J22*K22</x:f>
        <x:v>5</x:v>
      </x:c>
      <x:c r="M22" s="94" t="str">
        <x:v>基本完成，待最终验收</x:v>
      </x:c>
    </x:row>
    <x:row r="23" ht="126" customHeight="1">
      <x:c r="A23" s="94" t="str">
        <x:v>PBI-11-A</x:v>
      </x:c>
      <x:c r="B23" s="94" t="str">
        <x:v>1700 / Must</x:v>
      </x:c>
      <x:c r="C23" s="94" t="str">
        <x:v>新需求</x:v>
      </x:c>
      <x:c r="D23" s="94" t="str">
        <x:v>功能性</x:v>
      </x:c>
      <x:c r="E23" s="93" t="str">
        <x:v>PBI-11｜E11 多人复用执行与版本服务
作为结伴行程组织者，我想让多人方案复用单人执行、事件和 Plan V2 服务，以便 1/2/3 人都沿用同一闭环。</x:v>
      </x:c>
      <x:c r="F23" s="93" t="str">
        <x:v>AC-11-A
Given 已确认的 1 人、2 人和 3 人方案；When 分别进入执行并产生到达、照片、消费和任务事件；Then 三种 participants[] 长度均调用同一 ExecutionEvent、PlanVersion、Diff 与回退接口；组织者代表接受/拒绝 V2；任何模式都不复制数据库表、页面或规划状态机。
依赖/说明：陈梓元主责统一执行/版本 API；独立成员确认、实时聊天和协同编辑不进入本期核心范围。</x:v>
      </x:c>
      <x:c r="G23" s="94" t="str">
        <x:f>IF(J23&lt;=2,"低",IF(J23&lt;=5,"中","高"))</x:f>
        <x:v>中</x:v>
      </x:c>
      <x:c r="H23" s="94" t="str">
        <x:v>Sprint2</x:v>
      </x:c>
      <x:c r="I23" s="94" t="str">
        <x:v>陈梓元</x:v>
      </x:c>
      <x:c r="J23" s="95" t="n">
        <x:v>3</x:v>
      </x:c>
      <x:c r="K23" s="96" t="n">
        <x:v>1</x:v>
      </x:c>
      <x:c r="L23" s="95" t="n">
        <x:f>J23*K23</x:f>
        <x:v>3</x:v>
      </x:c>
      <x:c r="M23" s="94" t="str">
        <x:v>基本完成，待最终验收</x:v>
      </x:c>
    </x:row>
    <x:row r="24" ht="126" customHeight="1">
      <x:c r="A24" s="94" t="str">
        <x:v>PBI-11-B</x:v>
      </x:c>
      <x:c r="B24" s="94" t="str">
        <x:v>1800 / Must</x:v>
      </x:c>
      <x:c r="C24" s="94" t="str">
        <x:v>新需求</x:v>
      </x:c>
      <x:c r="D24" s="94" t="str">
        <x:v>功能性</x:v>
      </x:c>
      <x:c r="E24" s="93" t="str">
        <x:v>PBI-11｜E11 迟到与疲劳事件驱动重规划
作为执行中的旅行者，我想记录迟到或“走不动了”等状态，以便系统按剩余时间与体力调整未完成安排。</x:v>
      </x:c>
      <x:c r="F24" s="93" t="str">
        <x:v>AC-11-B
Given 行程处于 EXECUTING；When 用户确认迟到分钟数或疲劳状态；Then 生成绑定 taskId 的事件，并将其确定性转换为剩余时间、步行或休息约束；重新规划时已完成/锁定任务保留 100%，只调整未完成后缀；候选 V2 未接受前不覆盖当前版本。
依赖/说明：林粲涵主责事件到约束的转换、最小扰动规则与回归；一次事件不得自动推断用户长期偏好。</x:v>
      </x:c>
      <x:c r="G24" s="94" t="str">
        <x:f>IF(J24&lt;=2,"低",IF(J24&lt;=5,"中","高"))</x:f>
        <x:v>中</x:v>
      </x:c>
      <x:c r="H24" s="94" t="str">
        <x:v>Sprint2</x:v>
      </x:c>
      <x:c r="I24" s="94" t="str">
        <x:v>林粲涵</x:v>
      </x:c>
      <x:c r="J24" s="95" t="n">
        <x:v>5</x:v>
      </x:c>
      <x:c r="K24" s="96" t="n">
        <x:v>1</x:v>
      </x:c>
      <x:c r="L24" s="95" t="n">
        <x:f>J24*K24</x:f>
        <x:v>5</x:v>
      </x:c>
      <x:c r="M24" s="94" t="str">
        <x:v>基本完成，待最终验收</x:v>
      </x:c>
    </x:row>
    <x:row r="25" ht="126" customHeight="1">
      <x:c r="A25" s="94" t="str">
        <x:v>PBI-12-A</x:v>
      </x:c>
      <x:c r="B25" s="94" t="str">
        <x:v>1900 / Must</x:v>
      </x:c>
      <x:c r="C25" s="94" t="str">
        <x:v>新需求</x:v>
      </x:c>
      <x:c r="D25" s="94" t="str">
        <x:v>功能性</x:v>
      </x:c>
      <x:c r="E25" s="93" t="str">
        <x:v>PBI-12｜E12 旅行回忆页
作为完成旅行的用户，我想查看按实际执行顺序生成的旅行回忆页，以便一起回顾任务、费用、版本、关怀满足情况和照片。</x:v>
      </x:c>
      <x:c r="F25" s="93" t="str">
        <x:v>AC-12-A
Given 行程已完成；When 打开回忆页；Then 按 ExecutionEvent 的实际顺序展示完成率、计划/实际费用、Plan V1/V2 变化、关怀约束满足率与任务照片时间线；照片仅显示其绑定任务且已删除照片不出现；0 张照片时仍可生成完整文本总结。
依赖/说明：张琪主责 MemoryTimeline、数据聚合与回忆页；页面不包含视频剪辑、配乐或公开社区分享。</x:v>
      </x:c>
      <x:c r="G25" s="94" t="str">
        <x:f>IF(J25&lt;=2,"低",IF(J25&lt;=5,"中","高"))</x:f>
        <x:v>中</x:v>
      </x:c>
      <x:c r="H25" s="94" t="str">
        <x:v>Sprint2</x:v>
      </x:c>
      <x:c r="I25" s="94" t="str">
        <x:v>张琪</x:v>
      </x:c>
      <x:c r="J25" s="95" t="n">
        <x:v>5</x:v>
      </x:c>
      <x:c r="K25" s="96" t="n">
        <x:v>1</x:v>
      </x:c>
      <x:c r="L25" s="95" t="n">
        <x:f>J25*K25</x:f>
        <x:v>5</x:v>
      </x:c>
      <x:c r="M25" s="94" t="str">
        <x:v>基本完成，待最终验收</x:v>
      </x:c>
    </x:row>
    <x:row r="26" ht="126" customHeight="1">
      <x:c r="A26" s="94" t="str">
        <x:v>PBI-13-S2</x:v>
      </x:c>
      <x:c r="B26" s="94" t="str">
        <x:v>2000 / Must</x:v>
      </x:c>
      <x:c r="C26" s="94" t="str">
        <x:v>技术改进</x:v>
      </x:c>
      <x:c r="D26" s="94" t="str">
        <x:v>非功能性</x:v>
      </x:c>
      <x:c r="E26" s="93" t="str">
        <x:v>PBI-13｜E13 公网响应式与视觉系统（S2）
作为手机端执行者，我想清晰使用到达、照片、状态反馈和回忆组件，以便现实旅行中单手完成关键操作。</x:v>
      </x:c>
      <x:c r="F26" s="93" t="str">
        <x:v>AC-13-S2
Given 375px/768px 视口；When 使用到达辅助、照片、迟到/疲劳、V1/V2 Diff 与回忆页；Then 页面无横向滚动，主操作触控目标不小于 44px，权限拒绝/上传失败/加载中均有可见状态；组件沿用 Sprint 1 设计令牌并支持 prefers-reduced-motion。
依赖/说明：林粲涵主责手机执行交互与视觉一致性；Sprint 2 不重建 Sprint 1 页面结构。</x:v>
      </x:c>
      <x:c r="G26" s="94" t="str">
        <x:f>IF(J26&lt;=2,"低",IF(J26&lt;=5,"中","高"))</x:f>
        <x:v>中</x:v>
      </x:c>
      <x:c r="H26" s="94" t="str">
        <x:v>Sprint2</x:v>
      </x:c>
      <x:c r="I26" s="94" t="str">
        <x:v>林粲涵</x:v>
      </x:c>
      <x:c r="J26" s="95" t="n">
        <x:v>3</x:v>
      </x:c>
      <x:c r="K26" s="96" t="n">
        <x:v>1</x:v>
      </x:c>
      <x:c r="L26" s="95" t="n">
        <x:f>J26*K26</x:f>
        <x:v>3</x:v>
      </x:c>
      <x:c r="M26" s="94" t="str">
        <x:v>基本完成，待最终验收</x:v>
      </x:c>
    </x:row>
    <x:row r="27" ht="126" customHeight="1">
      <x:c r="A27" s="94" t="str">
        <x:v>PBI-13-S3</x:v>
      </x:c>
      <x:c r="B27" s="94" t="str">
        <x:v>2100 / Must</x:v>
      </x:c>
      <x:c r="C27" s="94" t="str">
        <x:v>技术改进</x:v>
      </x:c>
      <x:c r="D27" s="94" t="str">
        <x:v>非功能性</x:v>
      </x:c>
      <x:c r="E27" s="93" t="str">
        <x:v>PBI-13｜E13 公网响应式与视觉系统（S3）
作为不同设备上的评审者，我想获得稳定、清晰且可键盘操作的界面，以便顺利完成最终验收与答辩。</x:v>
      </x:c>
      <x:c r="F27" s="93" t="str">
        <x:v>AC-13-S3
Given 375/768/1366/1440 四种视口；When 执行完整流程；Then 无横向滚动，正文不低于 16px、关键控件有可见键盘焦点、文本与状态对比清晰、图片有 altText、动画遵循 reduced-motion；校园网和手机流量均可打开同一 HTTPS 地址。
依赖/说明：王敬博主责最终响应式、可访问性与视觉 QA；Day 8 中午后不再新增功能或重做页面结构。</x:v>
      </x:c>
      <x:c r="G27" s="94" t="str">
        <x:f>IF(J27&lt;=2,"低",IF(J27&lt;=5,"中","高"))</x:f>
        <x:v>中</x:v>
      </x:c>
      <x:c r="H27" s="94" t="str">
        <x:v>Sprint3</x:v>
      </x:c>
      <x:c r="I27" s="94" t="str">
        <x:v>王敬博</x:v>
      </x:c>
      <x:c r="J27" s="95" t="n">
        <x:v>3</x:v>
      </x:c>
      <x:c r="K27" s="96" t="n">
        <x:v>1</x:v>
      </x:c>
      <x:c r="L27" s="95" t="n">
        <x:f>J27*K27</x:f>
        <x:v>3</x:v>
      </x:c>
      <x:c r="M27" s="94" t="str">
        <x:v>待执行</x:v>
      </x:c>
    </x:row>
    <x:row r="28" ht="126" customHeight="1">
      <x:c r="A28" s="94" t="str">
        <x:v>PBI-14-A</x:v>
      </x:c>
      <x:c r="B28" s="94" t="str">
        <x:v>2200 / Must</x:v>
      </x:c>
      <x:c r="C28" s="94" t="str">
        <x:v>技术改进</x:v>
      </x:c>
      <x:c r="D28" s="94" t="str">
        <x:v>非功能性</x:v>
      </x:c>
      <x:c r="E28" s="93" t="str">
        <x:v>PBI-14｜E14 故障、权限与未知事实降级
作为旅行者，我想在模型、地图、定位、对象存储或数据库异常时仍保住当前计划并获得可操作提示，以便故障不破坏行程。</x:v>
      </x:c>
      <x:c r="F28" s="93" t="str">
        <x:v>AC-14-A
Given 模型超时/JSON 错误、地图失败、定位拒绝/超时/低精度、照片存储失败、数据库异常或设施未知；When 分别触发；Then 模型 8 秒超时后最多结构化重试 1 次并可回表单，地图读取同城时间戳缓存，定位转人工，照片失败不阻断任务，数据库可用 localStorage 保留当前行程；任何降级都不破坏唯一 CURRENT，未知仍为 NEEDS_CONFIRMATION。
依赖/说明：陈梓元主责降级编排、错误码与恢复路径；不得用跨城缓存或模型猜测掩盖失败，也不承诺全国无障碍保证。</x:v>
      </x:c>
      <x:c r="G28" s="94" t="str">
        <x:f>IF(J28&lt;=2,"低",IF(J28&lt;=5,"中","高"))</x:f>
        <x:v>中</x:v>
      </x:c>
      <x:c r="H28" s="94" t="str">
        <x:v>Sprint3</x:v>
      </x:c>
      <x:c r="I28" s="94" t="str">
        <x:v>陈梓元</x:v>
      </x:c>
      <x:c r="J28" s="95" t="n">
        <x:v>5</x:v>
      </x:c>
      <x:c r="K28" s="96" t="n">
        <x:v>1</x:v>
      </x:c>
      <x:c r="L28" s="95" t="n">
        <x:f>J28*K28</x:f>
        <x:v>5</x:v>
      </x:c>
      <x:c r="M28" s="94" t="str">
        <x:v>待执行</x:v>
      </x:c>
    </x:row>
    <x:row r="29" ht="126" customHeight="1">
      <x:c r="A29" s="94" t="str">
        <x:v>PBI-15-A</x:v>
      </x:c>
      <x:c r="B29" s="94" t="str">
        <x:v>2300 / Must</x:v>
      </x:c>
      <x:c r="C29" s="94" t="str">
        <x:v>质量保障</x:v>
      </x:c>
      <x:c r="D29" s="94" t="str">
        <x:v>非功能性</x:v>
      </x:c>
      <x:c r="E29" s="93" t="str">
        <x:v>PBI-15｜E15 自动化测试与质量门禁
作为 QA 与开发者，我想用自动化测试覆盖规划、关怀、预算、版本和执行主链，以便质量结论有可复现证据。</x:v>
      </x:c>
      <x:c r="F29" s="93" t="str">
        <x:v>AC-15-A
Given 单元、接口、状态机、前端组件和端到端测试集；When 在发布候选版本运行；Then 25 组固定硬约束用例违规数为 0，金额均按整数分，完成/锁定项保留率 100%，定位四类降级与照片绑定/删除通过；规划、关怀编译、校验、预算与重规划核心代码覆盖率不低于 75%；无未关闭 P0/P1 缺陷。
依赖/说明：林粲涵主责自动化、覆盖率与 QA 证据；不能通过降低断言或修改测试来迁就实现。</x:v>
      </x:c>
      <x:c r="G29" s="94" t="str">
        <x:f>IF(J29&lt;=2,"低",IF(J29&lt;=5,"中","高"))</x:f>
        <x:v>高</x:v>
      </x:c>
      <x:c r="H29" s="94" t="str">
        <x:v>Sprint3</x:v>
      </x:c>
      <x:c r="I29" s="94" t="str">
        <x:v>林粲涵</x:v>
      </x:c>
      <x:c r="J29" s="95" t="n">
        <x:v>8</x:v>
      </x:c>
      <x:c r="K29" s="96" t="n">
        <x:v>1</x:v>
      </x:c>
      <x:c r="L29" s="95" t="n">
        <x:f>J29*K29</x:f>
        <x:v>8</x:v>
      </x:c>
      <x:c r="M29" s="94" t="str">
        <x:v>待执行</x:v>
      </x:c>
    </x:row>
    <x:row r="30" ht="126" customHeight="1">
      <x:c r="A30" s="94" t="str">
        <x:v>PBI-15-B</x:v>
      </x:c>
      <x:c r="B30" s="94" t="str">
        <x:v>2400 / Must</x:v>
      </x:c>
      <x:c r="C30" s="94" t="str">
        <x:v>质量保障</x:v>
      </x:c>
      <x:c r="D30" s="94" t="str">
        <x:v>非功能性</x:v>
      </x:c>
      <x:c r="E30" s="93" t="str">
        <x:v>PBI-15｜E15 部署、交付与答辩证据
作为项目团队，我想发布稳定候选版本并归档测试、演示和回退材料，以便产品可复现、可验收、可答辩。</x:v>
      </x:c>
      <x:c r="F30" s="93" t="str">
        <x:v>AC-15-B
Given 正式 RC、固定关怀案例和公网地址；When 连续运行北京关怀黄金链 3 次；Then 三次均完成约束→V1→现实事件→V2→总结/回忆且无 P0/P1 Bug；校园网与手机流量可访问；交付启动说明、Schema/API、测试报告、三城完整链与两城烟测证据、演示脚本、已知限制、回退方案和录屏。
依赖/说明：王敬博主责部署、交付清单与答辩联调；Day 9 只修 P0/P1、复测、签署与彩排。</x:v>
      </x:c>
      <x:c r="G30" s="94" t="str">
        <x:f>IF(J30&lt;=2,"低",IF(J30&lt;=5,"中","高"))</x:f>
        <x:v>中</x:v>
      </x:c>
      <x:c r="H30" s="94" t="str">
        <x:v>Sprint3</x:v>
      </x:c>
      <x:c r="I30" s="94" t="str">
        <x:v>王敬博</x:v>
      </x:c>
      <x:c r="J30" s="95" t="n">
        <x:v>5</x:v>
      </x:c>
      <x:c r="K30" s="96" t="n">
        <x:v>1</x:v>
      </x:c>
      <x:c r="L30" s="95" t="n">
        <x:f>J30*K30</x:f>
        <x:v>5</x:v>
      </x:c>
      <x:c r="M30" s="94" t="str">
        <x:v>待执行</x:v>
      </x:c>
    </x:row>
    <x:row r="31" ht="126" customHeight="1">
      <x:c r="A31" s="94" t="str">
        <x:v>PBI-16-A</x:v>
      </x:c>
      <x:c r="B31" s="94" t="str">
        <x:v>2500 / Must</x:v>
      </x:c>
      <x:c r="C31" s="94" t="str">
        <x:v>质量保障</x:v>
      </x:c>
      <x:c r="D31" s="94" t="str">
        <x:v>非功能性</x:v>
      </x:c>
      <x:c r="E31" s="93" t="str">
        <x:v>PBI-16｜E16 三城完整端到端验证
作为评审者，我想看到北京、上海、成都使用同一套内核完成完整关怀链路，以便确认全国城市能力不是北京专用演示。</x:v>
      </x:c>
      <x:c r="F31" s="93" t="str">
        <x:v>AC-16-A
Given 北京、上海、成都三组固定关怀输入；When 分别运行完整链；Then 三城均完成 CityContext、AssistanceProfile、关怀编译、地点/路线、唯一 Plan V1、到达/照片/消费或状态事件、Plan V2 接受或拒绝及回忆页；三城复用同一规划接口，缓存互相隔离，来源与时间完整。
依赖/说明：张琪主责三城端到端与证据报告；北京可使用核验快照容灾，上海和成都必须证明在线城市切换。</x:v>
      </x:c>
      <x:c r="G31" s="94" t="str">
        <x:f>IF(J31&lt;=2,"低",IF(J31&lt;=5,"中","高"))</x:f>
        <x:v>中</x:v>
      </x:c>
      <x:c r="H31" s="94" t="str">
        <x:v>Sprint3</x:v>
      </x:c>
      <x:c r="I31" s="94" t="str">
        <x:v>张琪</x:v>
      </x:c>
      <x:c r="J31" s="95" t="n">
        <x:v>5</x:v>
      </x:c>
      <x:c r="K31" s="96" t="n">
        <x:v>1</x:v>
      </x:c>
      <x:c r="L31" s="95" t="n">
        <x:f>J31*K31</x:f>
        <x:v>5</x:v>
      </x:c>
      <x:c r="M31" s="94" t="str">
        <x:v>待执行</x:v>
      </x:c>
    </x:row>
    <x:row r="32" ht="126" customHeight="1">
      <x:c r="A32" s="94" t="str">
        <x:v>PBI-16-B</x:v>
      </x:c>
      <x:c r="B32" s="94" t="str">
        <x:v>2600 / Must</x:v>
      </x:c>
      <x:c r="C32" s="94" t="str">
        <x:v>质量保障</x:v>
      </x:c>
      <x:c r="D32" s="94" t="str">
        <x:v>非功能性</x:v>
      </x:c>
      <x:c r="E32" s="93" t="str">
        <x:v>PBI-16｜E16 两城在线烟测
作为开发团队，我想对西安和杭州执行在线地点、路线与关怀约束烟测，以便更早发现城市参数、字段和缓存隔离问题。</x:v>
      </x:c>
      <x:c r="F32" s="93" t="str">
        <x:v>AC-16-B
Given 西安与杭州两组输入；When 执行在线 POI、路线、来源状态和关怀约束烟测；Then 两城均返回同城候选与路线，cityCode 进入请求及缓存键，unknown/estimate 不误判为实时或 0 元，已知阶梯规则可执行；Planner API、Trip Schema 与状态机不因城市变化。
依赖/说明：张琪主责西安/杭州烟测和缓存串城检查；这两城不要求在本期完成全部 UI 演示链。</x:v>
      </x:c>
      <x:c r="G32" s="94" t="str">
        <x:f>IF(J32&lt;=2,"低",IF(J32&lt;=5,"中","高"))</x:f>
        <x:v>中</x:v>
      </x:c>
      <x:c r="H32" s="94" t="str">
        <x:v>Sprint3</x:v>
      </x:c>
      <x:c r="I32" s="94" t="str">
        <x:v>张琪</x:v>
      </x:c>
      <x:c r="J32" s="95" t="n">
        <x:v>3</x:v>
      </x:c>
      <x:c r="K32" s="96" t="n">
        <x:v>1</x:v>
      </x:c>
      <x:c r="L32" s="95" t="n">
        <x:f>J32*K32</x:f>
        <x:v>3</x:v>
      </x:c>
      <x:c r="M32" s="94" t="str">
        <x:v>待执行</x:v>
      </x:c>
    </x:row>
    <x:row r="33" ht="126" customHeight="1">
      <x:c r="A33" s="94" t="str">
        <x:v>PBI-17-A</x:v>
      </x:c>
      <x:c r="B33" s="94" t="str">
        <x:v>2700 / Should</x:v>
      </x:c>
      <x:c r="C33" s="94" t="str">
        <x:v>技术改进</x:v>
      </x:c>
      <x:c r="D33" s="94" t="str">
        <x:v>非功能性</x:v>
      </x:c>
      <x:c r="E33" s="93" t="str">
        <x:v>PBI-17｜E17 多日 Schema 兼容
作为后续迭代开发者，我想验证 Trip.days[] 可兼容两日数据，以便本期单日实现不阻断未来多日扩展。</x:v>
      </x:c>
      <x:c r="F33" s="93" t="str">
        <x:v>AC-17-A
Given 当前单日行程；When 保存与读取；Then 所有内容写入 days[0]；Given 一份 2 日 Fixture；When 执行序列化、Schema 校验、保存与读取；Then days[0] 与 days[1] 均完整保留且不串日。本故事不要求多日 UI、住宿统筹、跨城交通或跨日重规划。
依赖/说明：陈梓元主责 Schema 兼容与接口测试；属于 Sprint 3 Should/stretch，容量不足时可延后但不得破坏单日模型。</x:v>
      </x:c>
      <x:c r="G33" s="94" t="str">
        <x:f>IF(J33&lt;=2,"低",IF(J33&lt;=5,"中","高"))</x:f>
        <x:v>中</x:v>
      </x:c>
      <x:c r="H33" s="94" t="str">
        <x:v>Sprint3</x:v>
      </x:c>
      <x:c r="I33" s="94" t="str">
        <x:v>陈梓元</x:v>
      </x:c>
      <x:c r="J33" s="95" t="n">
        <x:v>3</x:v>
      </x:c>
      <x:c r="K33" s="96" t="n">
        <x:v>1</x:v>
      </x:c>
      <x:c r="L33" s="95" t="n">
        <x:f>J33*K33</x:f>
        <x:v>3</x:v>
      </x:c>
      <x:c r="M33" s="94" t="str">
        <x:v>待执行</x:v>
      </x:c>
    </x:row>
    <x:row r="34" ht="168.75" customHeight="1">
      <x:c r="A34" s="144" t="str">
        <x:v>PBI-21-A</x:v>
      </x:c>
      <x:c r="B34" s="144" t="str">
        <x:v>3100 / Must</x:v>
      </x:c>
      <x:c r="C34" s="144" t="str">
        <x:v>新需求</x:v>
      </x:c>
      <x:c r="D34" s="144" t="str">
        <x:v>功能性</x:v>
      </x:c>
      <x:c r="E34" s="145" t="str">
        <x:v>PBI-21｜E21 账户、登录、跨设备会话与显式个人画像
作为注册用户，我想用账号登录并在不同浏览器或设备恢复自己的行程、预算与个人画像，以便 Alpha 演示不依赖同一浏览器缓存。</x:v>
      </x:c>
      <x:c r="F34" s="145" t="str">
        <x:v>AC-21-A
Given 用户注册或登录；When 在两台浏览器/设备间创建、退出、重新登录并打开个人中心；Then 行程、预算与画像按 userId 隔离并可恢复；画像只保存用户显式填写的昵称、成员类型、体力/步行限制、饮食偏好等非敏感字段；修改记录 updatedAt，不从行为自动推断长期或敏感画像。
依赖/说明：12小时 Alpha 范围，只做最小闭环；排除聊天/WebSocket/投票、酒旅与跨城预订、支付、邮箱验证/找回、敏感画像推断、跨日自动重规划。</x:v>
      </x:c>
      <x:c r="G34" s="144" t="str">
        <x:f>IF(J34&lt;=2,"低",IF(J34&lt;=5,"中","高"))</x:f>
        <x:v>中</x:v>
      </x:c>
      <x:c r="H34" s="144" t="str">
        <x:v>Sprint3</x:v>
      </x:c>
      <x:c r="I34" s="144" t="str">
        <x:v>陈梓元</x:v>
      </x:c>
      <x:c r="J34" s="146" t="n">
        <x:v>3</x:v>
      </x:c>
      <x:c r="K34" s="147" t="n">
        <x:v>1</x:v>
      </x:c>
      <x:c r="L34" s="146" t="n">
        <x:f>J34*K34</x:f>
        <x:v>3</x:v>
      </x:c>
      <x:c r="M34" s="144" t="str">
        <x:v>待执行</x:v>
      </x:c>
    </x:row>
    <x:row r="35" ht="168.75" customHeight="1">
      <x:c r="A35" s="144" t="str">
        <x:v>PBI-22-A</x:v>
      </x:c>
      <x:c r="B35" s="144" t="str">
        <x:v>3200 / Must</x:v>
      </x:c>
      <x:c r="C35" s="144" t="str">
        <x:v>新需求</x:v>
      </x:c>
      <x:c r="D35" s="144" t="str">
        <x:v>功能性</x:v>
      </x:c>
      <x:c r="E35" s="145" t="str">
        <x:v>PBI-22｜E22 注册用户多人邀请、加入与成员权限
作为行程组织者，我想邀请 2—3 名注册用户加入行程，并让每个账号维护自己的资料，以便多人 Alpha 协作有清晰身份边界。</x:v>
      </x:c>
      <x:c r="F35" s="145" t="str">
        <x:v>AC-22-A
Given 组织者已登录并创建行程；When 生成邀请链接/邀请码，成员登录后加入；Then 成员列表展示组织者与成员身份、加入状态和资料确认状态；组织者可移除未确认成员，成员只能维护自己的资料与预算参与信息；重复加入、无效邀请和越权修改均被拒绝并有提示。
依赖/说明：12小时 Alpha 范围，只做最小闭环；排除聊天/WebSocket/投票、酒旅与跨城预订、支付、邮箱验证/找回、敏感画像推断、跨日自动重规划。</x:v>
      </x:c>
      <x:c r="G35" s="144" t="str">
        <x:f>IF(J35&lt;=2,"低",IF(J35&lt;=5,"中","高"))</x:f>
        <x:v>中</x:v>
      </x:c>
      <x:c r="H35" s="144" t="str">
        <x:v>Sprint3</x:v>
      </x:c>
      <x:c r="I35" s="144" t="str">
        <x:v>王敬博</x:v>
      </x:c>
      <x:c r="J35" s="146" t="n">
        <x:v>3</x:v>
      </x:c>
      <x:c r="K35" s="147" t="n">
        <x:v>1</x:v>
      </x:c>
      <x:c r="L35" s="146" t="n">
        <x:f>J35*K35</x:f>
        <x:v>3</x:v>
      </x:c>
      <x:c r="M35" s="144" t="str">
        <x:v>待执行</x:v>
      </x:c>
    </x:row>
    <x:row r="36" ht="168.75" customHeight="1">
      <x:c r="A36" s="144" t="str">
        <x:v>PBI-23-A</x:v>
      </x:c>
      <x:c r="B36" s="144" t="str">
        <x:v>3300 / Must</x:v>
      </x:c>
      <x:c r="C36" s="144" t="str">
        <x:v>新需求</x:v>
      </x:c>
      <x:c r="D36" s="144" t="str">
        <x:v>功能性</x:v>
      </x:c>
      <x:c r="E36" s="145" t="str">
        <x:v>PBI-23｜E23 透明预算账本
作为结伴旅行成员，我想查看门票、交通、餐饮、住宿、其他费用的来源、未知项和个人/共享归属，以便 Alpha 预算结论可追溯而不假装已完成支付或预订。</x:v>
      </x:c>
      <x:c r="F36" s="145" t="str">
        <x:v>AC-23-A
Given 多人行程存在预算上限；When 添加或导入费用项；Then 每项必须包含类别、金额或 unknown、共享/个人标记、来源状态、来源文本/URL 或估算说明、fetchedAt/confirmedAt；共享费用按参与成员平摊并可手动调整，个人费用只计入本人；unknown 不按 0 元通过预算；总额使用整数分复算并标记缺口。
依赖/说明：12小时 Alpha 范围，只做最小闭环；排除聊天/WebSocket/投票、酒旅与跨城预订、支付、邮箱验证/找回、敏感画像推断、跨日自动重规划。</x:v>
      </x:c>
      <x:c r="G36" s="144" t="str">
        <x:f>IF(J36&lt;=2,"低",IF(J36&lt;=5,"中","高"))</x:f>
        <x:v>中</x:v>
      </x:c>
      <x:c r="H36" s="144" t="str">
        <x:v>Sprint3</x:v>
      </x:c>
      <x:c r="I36" s="144" t="str">
        <x:v>张琪</x:v>
      </x:c>
      <x:c r="J36" s="146" t="n">
        <x:v>5</x:v>
      </x:c>
      <x:c r="K36" s="147" t="n">
        <x:v>1</x:v>
      </x:c>
      <x:c r="L36" s="146" t="n">
        <x:f>J36*K36</x:f>
        <x:v>5</x:v>
      </x:c>
      <x:c r="M36" s="144" t="str">
        <x:v>待执行</x:v>
      </x:c>
    </x:row>
    <x:row r="37" ht="168.75" customHeight="1">
      <x:c r="A37" s="155" t="str">
        <x:v>PBI-24-A</x:v>
      </x:c>
      <x:c r="B37" s="155" t="str">
        <x:v>3400 / Must</x:v>
      </x:c>
      <x:c r="C37" s="155" t="str">
        <x:v>新需求</x:v>
      </x:c>
      <x:c r="D37" s="155" t="str">
        <x:v>功能性</x:v>
      </x:c>
      <x:c r="E37" s="154" t="str">
        <x:v>PBI-24｜E24 同城 2—3 天父行程与既有单日子 Trip 编排
作为组织者，我想把同一城市的 2—3 天行程拆成可独立验收的单日子 Trip，以便在 12 小时 Alpha 内复用现有单日规划能力。</x:v>
      </x:c>
      <x:c r="F37" s="154" t="str">
        <x:v>AC-24-A
Given 已选择同一目标城市、2—3 天日期和成员资料；When 创建父行程；Then Trip.days[] 生成 2—3 个子 Trip，每天复用既有单日地点、路线、预算与执行模型；父行程汇总每日预算、未知项和完成状态；可手动调整每日主题/时间窗，但不得跨城混用 cityCode 或把单日失败静默算作多日成功。
依赖/说明：12小时 Alpha 范围，只做最小闭环；排除聊天/WebSocket/投票、酒旅与跨城预订、支付、邮箱验证/找回、敏感画像推断、跨日自动重规划。</x:v>
      </x:c>
      <x:c r="G37" s="155" t="str">
        <x:f>IF(J37&lt;=2,"低",IF(J37&lt;=5,"中","高"))</x:f>
        <x:v>中</x:v>
      </x:c>
      <x:c r="H37" s="155" t="str">
        <x:v>Sprint3</x:v>
      </x:c>
      <x:c r="I37" s="155" t="str">
        <x:v>林粲涵</x:v>
      </x:c>
      <x:c r="J37" s="157" t="n">
        <x:v>5</x:v>
      </x:c>
      <x:c r="K37" s="159" t="n">
        <x:v>1</x:v>
      </x:c>
      <x:c r="L37" s="157" t="n">
        <x:f>J37*K37</x:f>
        <x:v>5</x:v>
      </x:c>
      <x:c r="M37" s="155" t="str">
        <x:v>待执行</x:v>
      </x:c>
    </x:row>
    <x:row r="38" ht="168.75" customHeight="1">
      <x:c r="A38" s="156" t="str">
        <x:v>PBI-24-B</x:v>
      </x:c>
      <x:c r="B38" s="156" t="str">
        <x:v>3500 / Must</x:v>
      </x:c>
      <x:c r="C38" s="156" t="str">
        <x:v>质量保障</x:v>
      </x:c>
      <x:c r="D38" s="156" t="str">
        <x:v>非功能性</x:v>
      </x:c>
      <x:c r="E38" s="153" t="str">
        <x:v>PBI-24｜E24 两浏览器协作演示、预算验收与回归证据
作为评审者，我想看到两个浏览器账号完成邀请、资料维护、多日编排和预算校验，以便确认 Alpha 扩展是真实可复现的最小闭环。</x:v>
      </x:c>
      <x:c r="F38" s="153" t="str">
        <x:v>AC-24-B
Given 浏览器 A 为组织者、浏览器 B 为成员；When 组织者邀请成员、双方登录、各自维护资料、生成同城 2—3 天父行程并录入预算账本；Then 两端刷新后身份、权限、资料隔离、共享/个人费用、unknown 标记和预算验收结果一致；输出演示脚本、关键截图/录屏、回归用例和已知限制清单。
依赖/说明：12小时 Alpha 范围，只做最小闭环；排除聊天/WebSocket/投票、酒旅与跨城预订、支付、邮箱验证/找回、敏感画像推断、跨日自动重规划。</x:v>
      </x:c>
      <x:c r="G38" s="156" t="str">
        <x:f>IF(J38&lt;=2,"低",IF(J38&lt;=5,"中","高"))</x:f>
        <x:v>中</x:v>
      </x:c>
      <x:c r="H38" s="156" t="str">
        <x:v>Sprint3</x:v>
      </x:c>
      <x:c r="I38" s="156" t="str">
        <x:v>王敬博</x:v>
      </x:c>
      <x:c r="J38" s="158" t="n">
        <x:v>3</x:v>
      </x:c>
      <x:c r="K38" s="160" t="n">
        <x:v>1</x:v>
      </x:c>
      <x:c r="L38" s="158" t="n">
        <x:f>J38*K38</x:f>
        <x:v>3</x:v>
      </x:c>
      <x:c r="M38" s="156" t="str">
        <x:v>待执行</x:v>
      </x:c>
    </x:row>
    <x:row r="39">
      <x:c r="A39" t="str">
        <x:v>PBI-18-P1</x:v>
      </x:c>
      <x:c r="B39" t="str">
        <x:v>2800 / Should</x:v>
      </x:c>
      <x:c r="C39" t="str">
        <x:v>新需求</x:v>
      </x:c>
      <x:c r="D39" t="str">
        <x:v>功能性</x:v>
      </x:c>
      <x:c r="E39" t="str">
        <x:v>PBI-18｜E18 均衡与省钱双方案
作为旅行者，我想在核心单方案稳定后比较均衡推荐与省钱备选，以便理解费用和满意度之间的取舍。</x:v>
      </x:c>
      <x:c r="F39" t="str">
        <x:v>AC-18-P1
Given P0 唯一推荐和完整闭环已稳定；When 请求双方案；Then 系统分别生成并校验“均衡推荐”和“省钱备选”，展示费用、时间、路线、步行与每人满意度差异；两个方案必须由独立目标真实计算且都通过硬约束，不得复制同一结果或让 LLM 伪造第二方案。
依赖/说明：王敬博主责双目标排序；P1/Should，Day 6 主链不过即删除，不占三个核心 Sprint 的承诺。</x:v>
      </x:c>
      <x:c r="G39" t="str">
        <x:f>IF(J39&lt;=2,"低",IF(J39&lt;=5,"中","高"))</x:f>
        <x:v>中</x:v>
      </x:c>
      <x:c r="H39" t="str">
        <x:v>P1</x:v>
      </x:c>
      <x:c r="I39" t="str">
        <x:v>王敬博</x:v>
      </x:c>
      <x:c r="J39" t="n">
        <x:v>5</x:v>
      </x:c>
      <x:c r="K39" t="n">
        <x:v>1</x:v>
      </x:c>
      <x:c r="L39" t="n">
        <x:f>J39*K39</x:f>
        <x:v>5</x:v>
      </x:c>
      <x:c r="M39" t="str">
        <x:v>候选池</x:v>
      </x:c>
    </x:row>
    <x:row r="40">
      <x:c r="A40" t="str">
        <x:v>PBI-19-P1</x:v>
      </x:c>
      <x:c r="B40" t="str">
        <x:v>2900 / Could</x:v>
      </x:c>
      <x:c r="C40" t="str">
        <x:v>技术改进</x:v>
      </x:c>
      <x:c r="D40" t="str">
        <x:v>非功能性</x:v>
      </x:c>
      <x:c r="E40" t="str">
        <x:v>PBI-19｜E19 美团旅行 Skill 可拔插验证
作为开发团队，我想用半天 Spike 验证美团旅行 Skill 能否作为可关闭增强，以便在不影响主链的前提下评估外部酒旅信息。</x:v>
      </x:c>
      <x:c r="F40" t="str">
        <x:v>AC-19-P1
Given 独立功能开关和半天时间盒；When 检查 Token、CLI、返回结构、延迟与部署可用性；Then 全部稳定才允许显示酒旅查询/跳转信息，否则记录结论并关闭；关闭后高德主链仍完整；Skill 数据不进入硬预算和确定性校验。
依赖/说明：陈梓元主责可拔插接口 Spike；P1/Could。本期不做优惠券、跑腿、票务餐饮下单或第三方平台批量抓取。</x:v>
      </x:c>
      <x:c r="G40" t="str">
        <x:f>IF(J40&lt;=2,"低",IF(J40&lt;=5,"中","高"))</x:f>
        <x:v>低</x:v>
      </x:c>
      <x:c r="H40" t="str">
        <x:v>P1</x:v>
      </x:c>
      <x:c r="I40" t="str">
        <x:v>陈梓元</x:v>
      </x:c>
      <x:c r="J40" t="n">
        <x:v>2</x:v>
      </x:c>
      <x:c r="K40" t="n">
        <x:v>1</x:v>
      </x:c>
      <x:c r="L40" t="n">
        <x:f>J40*K40</x:f>
        <x:v>2</x:v>
      </x:c>
      <x:c r="M40" t="str">
        <x:v>候选池</x:v>
      </x:c>
    </x:row>
    <x:row r="41">
      <x:c r="A41" t="str">
        <x:v>PBI-20-F1</x:v>
      </x:c>
      <x:c r="B41" t="str">
        <x:v>3000 / Should</x:v>
      </x:c>
      <x:c r="C41" t="str">
        <x:v>新需求</x:v>
      </x:c>
      <x:c r="D41" t="str">
        <x:v>功能性</x:v>
      </x:c>
      <x:c r="E41" t="str">
        <x:v>PBI-20｜E20 未来成员独立加入
作为结伴旅行成员，我想通过链接加入行程并独立确认自己的信息，以便未来减少组织者代录。</x:v>
      </x:c>
      <x:c r="F41" t="str">
        <x:v>AC-20-F1
Given 组织者创建 2—3 人行程；When 成员通过邀请链接加入并确认个人卡；Then 身份、权限、重复加入和确认状态可追踪，未确认成员不可被静默视为同意。本故事仅在 P0 全部通过后评估，不进入三个核心 Sprint 或本期交付验收。
依赖/说明：未来候选；不等同于实时聊天、持续定位或多人实时协同编辑。</x:v>
      </x:c>
      <x:c r="G41" t="str">
        <x:f>IF(J41&lt;=2,"低",IF(J41&lt;=5,"中","高"))</x:f>
        <x:v>中</x:v>
      </x:c>
      <x:c r="H41" t="str">
        <x:v>Future</x:v>
      </x:c>
      <x:c r="I41" t="str">
        <x:v>待后续分配</x:v>
      </x:c>
      <x:c r="J41" t="n">
        <x:v>5</x:v>
      </x:c>
      <x:c r="K41" t="n">
        <x:v>1</x:v>
      </x:c>
      <x:c r="L41" t="n">
        <x:f>J41*K41</x:f>
        <x:v>5</x:v>
      </x:c>
      <x:c r="M41" t="str">
        <x:v>候选池</x:v>
      </x:c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</x:row>
    <x:row r="43" ht="42" customHeight="1">
      <x:c r="A43" s="161" t="str">
        <x:v>调整说明</x:v>
      </x:c>
      <x:c r="B43" s="161" t="str">
        <x:v>Sprint1 已完成；Sprint2 开发主链基本完成，仅保留公网/设备最终验收；Sprint3 保留原始 PBI-13-S3 至 PBI-17，并新增 PBI-21-A～PBI-24-B 的 12小时 Alpha 范围：账号/登录/显式画像、注册用户邀请加入与权限、透明预算账本、同城 2—3 天父行程、两浏览器协作与预算回归证据；不包含聊天/WebSocket/投票、酒店与跨城交通搜索预订、支付、邮箱验证或密码找回、自动推断敏感画像、跨日自动重规划。</x:v>
      </x:c>
      <x:c r="C43" s="161"/>
      <x:c r="D43" s="161"/>
      <x:c r="E43" s="161"/>
      <x:c r="F43" s="161"/>
      <x:c r="G43" s="161"/>
      <x:c r="H43" s="161"/>
      <x:c r="I43" s="161"/>
      <x:c r="J43" s="161"/>
      <x:c r="K43" s="161"/>
      <x:c r="L43" s="161"/>
      <x:c r="M43" s="161"/>
    </x:row>
  </x:sheetData>
  <x:mergeCells>
    <x:mergeCell ref="A1:B4"/>
    <x:mergeCell ref="C1:D1"/>
    <x:mergeCell ref="C2:D2"/>
    <x:mergeCell ref="C3:D3"/>
    <x:mergeCell ref="C4:D4"/>
    <x:mergeCell ref="E1:I1"/>
    <x:mergeCell ref="E2:I2"/>
    <x:mergeCell ref="E3:I3"/>
    <x:mergeCell ref="E4:I4"/>
    <x:mergeCell ref="J1:K1"/>
    <x:mergeCell ref="J2:K2"/>
    <x:mergeCell ref="J3:K3"/>
    <x:mergeCell ref="J4:K4"/>
    <x:mergeCell ref="J5:K5"/>
    <x:mergeCell ref="A5:I5"/>
  </x:mergeCells>
  <x:conditionalFormatting sqref="A7:M36">
    <x:cfRule type="expression" dxfId="0" priority="1">
      <x:formula>$H7="Sprint1"</x:formula>
    </x:cfRule>
    <x:cfRule type="expression" dxfId="1" priority="2">
      <x:formula>$H7="Sprint2"</x:formula>
    </x:cfRule>
    <x:cfRule type="expression" dxfId="2" priority="3">
      <x:formula>$H7="Sprint3"</x:formula>
    </x:cfRule>
    <x:cfRule type="expression" dxfId="3" priority="4">
      <x:formula>$H7="Future"</x:formula>
    </x:cfRule>
    <x:cfRule type="expression" dxfId="6" priority="7">
      <x:formula>$H7="P1"</x:formula>
    </x:cfRule>
  </x:conditionalFormatting>
  <x:conditionalFormatting sqref="M7:M36">
    <x:cfRule type="containsText" dxfId="4" priority="5" operator="containsText" text="已完成"/>
    <x:cfRule type="containsText" dxfId="5" priority="6" operator="containsText" text="阻塞"/>
  </x:conditionalFormatting>
  <x:dataValidations count="6">
    <x:dataValidation type="list" sqref="C7:C36">
      <x:formula1>"新需求,技术改进,质量保障"</x:formula1>
    </x:dataValidation>
    <x:dataValidation type="list" sqref="D7:D36">
      <x:formula1>"功能性,非功能性"</x:formula1>
    </x:dataValidation>
    <x:dataValidation type="list" sqref="H7:H36">
      <x:formula1>"Sprint1,Sprint2,Sprint3,P1,Future"</x:formula1>
    </x:dataValidation>
    <x:dataValidation type="list" sqref="I7:I36">
      <x:formula1>"陈梓元,王敬博,张琪,林粲涵,待后续分配"</x:formula1>
    </x:dataValidation>
    <x:dataValidation type="list" sqref="J7:J36">
      <x:formula1>"1,2,3,5,8"</x:formula1>
    </x:dataValidation>
    <x:dataValidation type="list" sqref="M7:M36">
      <x:formula1>"Backlog,Ready,待办,进行中,测试中,QA通过,PO验收,已完成,阻塞,候选池"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4" hidden="0" customWidth="1"/>
    <x:col min="4" max="4" width="10" hidden="0" customWidth="1"/>
    <x:col min="5" max="5" width="29" hidden="0" customWidth="1"/>
    <x:col min="6" max="6" width="44" hidden="0" customWidth="1"/>
    <x:col min="7" max="7" width="38" hidden="0" customWidth="1"/>
  </x:cols>
  <x:sheetData>
    <x:row r="1" ht="34" customHeight="1">
      <x:c r="A1" s="4" t="str">
        <x:v>团队速率与 Sprint 容量</x:v>
      </x:c>
      <x:c r="B1" s="4"/>
      <x:c r="C1" s="4"/>
      <x:c r="D1" s="4"/>
      <x:c r="E1" s="4"/>
      <x:c r="F1" s="4"/>
      <x:c r="G1" s="4"/>
    </x:row>
    <x:row r="2">
      <x:c r="A2" s="97" t="str">
        <x:v>计划 SP 由产品 Backlog 自动汇总；三个核心 Sprint 原为 115 SP，本扩展副本新增 12小时 Alpha 范围后核心 Sprint 为 134 SP。Sprint 1 的开发容量另按 48 人时管理（每人 12 小时），SP 只用于相对估算，不与工时直接换算；P1/Future 不计入承诺速率。</x:v>
      </x:c>
      <x:c r="B2" s="97"/>
      <x:c r="C2" s="97"/>
      <x:c r="D2" s="97"/>
      <x:c r="E2" s="97"/>
      <x:c r="F2" s="97"/>
      <x:c r="G2" s="97"/>
    </x:row>
    <x:row r="4" ht="36" customHeight="1">
      <x:c r="A4" s="92" t="str">
        <x:v>Sprint</x:v>
      </x:c>
      <x:c r="B4" s="92" t="str">
        <x:v>计划 SP</x:v>
      </x:c>
      <x:c r="C4" s="92" t="str">
        <x:v>完成 SP（填写）</x:v>
      </x:c>
      <x:c r="D4" s="92" t="str">
        <x:v>完成率</x:v>
      </x:c>
      <x:c r="E4" s="92" t="str">
        <x:v>Sprint Goal</x:v>
      </x:c>
      <x:c r="F4" s="92" t="str">
        <x:v>退出门槛</x:v>
      </x:c>
      <x:c r="G4" s="92" t="str">
        <x:v>备注</x:v>
      </x:c>
    </x:row>
    <x:row r="5" ht="78" customHeight="1">
      <x:c r="A5" s="101" t="str">
        <x:v>Sprint1</x:v>
      </x:c>
      <x:c r="B5" s="102" t="n">
        <x:f>SUMIF('产品Backlog'!$H$7:$H$41,A5,'产品Backlog'!$L$7:$L$41)</x:f>
        <x:v>47</x:v>
      </x:c>
      <x:c r="C5" s="117" t="n">
        <x:v>0</x:v>
      </x:c>
      <x:c r="D5" s="103" t="n">
        <x:f>IF(B5=0,0,C5/B5)</x:f>
        <x:v>0</x:v>
      </x:c>
      <x:c r="E5" s="104" t="str">
        <x:v>交付含关怀约束的单人完整 Agent</x:v>
      </x:c>
      <x:c r="F5" s="104" t="str">
        <x:v>公网 90 秒跑通 AssistanceProfile→关怀编译/路线风险→唯一 Plan V1→执行消费→Plan V2→基础总结；硬约束 0 违规；拒绝 V2 不改 V1</x:v>
      </x:c>
      <x:c r="G5" s="104" t="str">
        <x:v>47 SP；开发容量 48 人时：4 人×12 小时。Day 3 以 Review、验收、演示和关键修复为主</x:v>
      </x:c>
    </x:row>
    <x:row r="6" ht="78" customHeight="1">
      <x:c r="A6" s="105" t="str">
        <x:v>Sprint2</x:v>
      </x:c>
      <x:c r="B6" s="106" t="n">
        <x:f>SUMIF('产品Backlog'!$H$7:$H$41,A6,'产品Backlog'!$L$7:$L$41)</x:f>
        <x:v>36</x:v>
      </x:c>
      <x:c r="C6" s="117" t="n">
        <x:v>0</x:v>
      </x:c>
      <x:c r="D6" s="107" t="n">
        <x:f>IF(B6=0,0,C6/B6)</x:f>
        <x:v>0</x:v>
      </x:c>
      <x:c r="E6" s="108" t="str">
        <x:v>基础 2—3 人公平推荐并接通现实执行证据</x:v>
      </x:c>
      <x:c r="F6" s="108" t="str">
        <x:v>1/2/3 人复用内核；输出一个公平推荐；定位成功/拒绝/超时/低精度均收束；每站≤1 张、全程≤8 张；回忆页可生成</x:v>
      </x:c>
      <x:c r="G6" s="108" t="str">
        <x:v>36 SP；接入一次性 GPS、照片、迟到/疲劳事件与 MemoryTimeline；双方案不在本 Sprint</x:v>
      </x:c>
    </x:row>
    <x:row r="7" ht="78" customHeight="1">
      <x:c r="A7" s="109" t="str">
        <x:v>Sprint3</x:v>
      </x:c>
      <x:c r="B7" s="110" t="n">
        <x:f>SUMIF('产品Backlog'!$H$7:$H$41,A7,'产品Backlog'!$L$7:$L$41)</x:f>
        <x:v>51</x:v>
      </x:c>
      <x:c r="C7" s="117" t="n">
        <x:v>0</x:v>
      </x:c>
      <x:c r="D7" s="111" t="n">
        <x:f>IF(B7=0,0,C7/B7)</x:f>
        <x:v>0</x:v>
      </x:c>
      <x:c r="E7" s="112" t="str">
        <x:v>完成降级、跨城市验证、测试与稳定交付，并加入 12小时 Alpha 多人/预算/同城多日最小闭环</x:v>
      </x:c>
      <x:c r="F7" s="112" t="str">
        <x:v>北京/上海/成都完整链；西安/杭州在线烟测；2 日 Fixture 通过；关怀黄金链连续三次；核心覆盖率≥75%；无 P0/P1 Bug；Alpha 演示通过账号邀请、预算账本与同城 2—3 天父行程验收</x:v>
      </x:c>
      <x:c r="G7" s="112" t="str">
        <x:v>51 SP：原 Sprint3 32 SP + 12小时 Alpha 扩展 19 SP；Alpha 不包含聊天/WebSocket/投票、酒店与跨城交通搜索预订、支付、邮箱验证或密码找回、自动推断敏感画像、跨日自动重规划</x:v>
      </x:c>
    </x:row>
    <x:row r="8" ht="78" customHeight="1">
      <x:c r="A8" s="137" t="str">
        <x:v>候选池</x:v>
      </x:c>
      <x:c r="B8" s="138" t="n">
        <x:f>SUMIF('产品Backlog'!$H$7:$H$41,"P1",'产品Backlog'!$L$7:$L$41)+SUMIF('产品Backlog'!$H$7:$H$41,"Future",'产品Backlog'!$L$7:$L$41)</x:f>
        <x:v>12</x:v>
      </x:c>
      <x:c r="C8" s="138" t="n">
        <x:v>0</x:v>
      </x:c>
      <x:c r="D8" s="139" t="n">
        <x:f>IF(B8=0,0,C8/B8)</x:f>
        <x:v>0</x:v>
      </x:c>
      <x:c r="E8" s="140" t="str">
        <x:v>P1 扩展与未来候选</x:v>
      </x:c>
      <x:c r="F8" s="140" t="str">
        <x:v>PBI-18 双方案在单方案主链稳定后开发；PBI-19 美团 Skill 半天 Spike 可关闭；PBI-20 成员独立加入不进本期验收</x:v>
      </x:c>
      <x:c r="G8" s="140" t="str">
        <x:v>12 SP：P1 7 SP（Should 5 + Could 2）与 Future 5 SP；均不计入三个核心 Sprint 承诺</x:v>
      </x:c>
    </x:row>
    <x:row r="9">
      <x:c r="A9" s="120" t="str">
        <x:v>合计</x:v>
      </x:c>
      <x:c r="B9" s="121" t="n">
        <x:f>SUM(B5:B8)</x:f>
        <x:v>146</x:v>
      </x:c>
      <x:c r="C9" s="121" t="n">
        <x:f>SUM(C5:C8)</x:f>
        <x:v>0</x:v>
      </x:c>
      <x:c r="D9" s="122" t="n">
        <x:f>IF(B9=0,0,C9/B9)</x:f>
        <x:v>0</x:v>
      </x:c>
      <x:c r="E9" s="120" t="str">
        <x:v>核心 Sprint 合计</x:v>
      </x:c>
      <x:c r="F9" s="120" t="n">
        <x:f>SUM(B5:B7)</x:f>
        <x:v>134</x:v>
      </x:c>
      <x:c r="G9" s="120" t="str">
        <x:v>SP（不含 P1/Future）</x:v>
      </x:c>
    </x:row>
    <x:row r="11">
      <x:c r="A11" s="88" t="str">
        <x:v>填写说明</x:v>
      </x:c>
      <x:c r="B11" s="88"/>
      <x:c r="C11" s="88"/>
      <x:c r="D11" s="88"/>
      <x:c r="E11" s="88"/>
      <x:c r="F11" s="88"/>
      <x:c r="G11" s="88"/>
    </x:row>
    <x:row r="12" ht="30" customHeight="1">
      <x:c r="A12" s="131" t="str">
        <x:v>1. C 列在 Sprint Review 后填写实际完成并通过 PO 验收的 Story Point；未完成故事不得按完成计入速率；候选池只作记录，不代表承诺。</x:v>
      </x:c>
      <x:c r="B12" s="132"/>
      <x:c r="C12" s="132"/>
      <x:c r="D12" s="132"/>
      <x:c r="E12" s="132"/>
      <x:c r="F12" s="132"/>
      <x:c r="G12" s="133"/>
    </x:row>
    <x:row r="13" ht="30" customHeight="1">
      <x:c r="A13" s="134" t="str">
        <x:v>2. 四人均为开发者，PO/SM/QA 仅为兼任职责。负责人表示主责，不限制协作；PR 评审人按任务风险和当次可用性临时指定，不设固定互评搭档。</x:v>
      </x:c>
      <x:c r="B13" s="135"/>
      <x:c r="C13" s="135"/>
      <x:c r="D13" s="135"/>
      <x:c r="E13" s="135"/>
      <x:c r="F13" s="135"/>
      <x:c r="G13" s="136"/>
    </x:row>
  </x:sheetData>
  <x:mergeCells>
    <x:mergeCell ref="A1:G1"/>
    <x:mergeCell ref="A2:G2"/>
    <x:mergeCell ref="A11:G11"/>
    <x:mergeCell ref="A12:G12"/>
    <x:mergeCell ref="A13:G13"/>
  </x:mergeCells>
  <x:conditionalFormatting sqref="D5:D8">
    <x:cfRule type="dataBar" priority="1">
      <x:dataBar>
        <x:cfvo type="num" val="0"/>
        <x:cfvo type="num" val="1"/>
        <x:color rgb="FF2E75B6"/>
      </x:dataBar>
      <x:extLst>
        <x:ext xmlns:x14="http://schemas.microsoft.com/office/spreadsheetml/2009/9/main" uri="{B025F937-C7B1-47D3-B67F-A62EFF666E3E}">
          <x14:id>{BFA8510D-9A9C-E92B-A1C2-A9709B0D0A77}</x14:id>
        </x:ext>
      </x:extLst>
    </x:cfRule>
  </x:conditionalFormatting>
  <x:dataValidations count="1">
    <x:dataValidation type="whole" operator="greaterThanOrEqual" sqref="C5:C8">
      <x:formula1>0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BFA8510D-9A9C-E92B-A1C2-A9709B0D0A77}">
            <x14:dataBar gradient="1">
              <x14:cfvo type="num">
                <xm:f>0</xm:f>
              </x14:cfvo>
              <x14:cfvo type="num">
                <xm:f>1</xm:f>
              </x14:cfvo>
              <x14:fillColor rgb="FF2E75B6"/>
            </x14:dataBar>
          </x14:cfRule>
          <xm:sqref>D5:D8</xm:sqref>
        </x14:conditionalFormatting>
      </x14:conditionalFormattings>
    </x:ext>
  </x:extLst>
</x:worksheet>
</file>