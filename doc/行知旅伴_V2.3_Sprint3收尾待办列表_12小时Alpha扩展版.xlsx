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实训\2026lindashixun12zu\doc\"/>
    </mc:Choice>
  </mc:AlternateContent>
  <bookViews>
    <workbookView windowWidth="21094" windowHeight="9805"/>
  </bookViews>
  <sheets>
    <sheet name="Sprint3收尾待办" sheetId="1" r:id="rId1"/>
    <sheet name="迁移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<sst xmlns="http://schemas.openxmlformats.org/spreadsheetml/2006/main" count="192" uniqueCount="127">
  <si>
    <t>行知旅伴 V2.3 · Sprint 3 收尾待办列表</t>
  </si>
  <si>
    <t>来源：原始 Sprint3 计划 + Sprint2 最终验收收尾。Sprint2 开发任务留在 Sprint2；本表只列最终未完成工作。</t>
  </si>
  <si>
    <t>Sprint3 待完成条目数</t>
  </si>
  <si>
    <t>可计量剩余工时</t>
  </si>
  <si>
    <t>Sprint2 验收收尾项</t>
  </si>
  <si>
    <t>原始 Sprint3 PBI 项</t>
  </si>
  <si>
    <t>Task-ID</t>
  </si>
  <si>
    <t>来源Sprint</t>
  </si>
  <si>
    <t>PBI-ID</t>
  </si>
  <si>
    <t>AC-ID</t>
  </si>
  <si>
    <t>待收尾工作</t>
  </si>
  <si>
    <t>优先级</t>
  </si>
  <si>
    <t>剩余工时(h)</t>
  </si>
  <si>
    <t>负责人</t>
  </si>
  <si>
    <t>迁移前状态</t>
  </si>
  <si>
    <t>Sprint3状态</t>
  </si>
  <si>
    <t>前置依赖</t>
  </si>
  <si>
    <t>验收条件</t>
  </si>
  <si>
    <t>迁移依据</t>
  </si>
  <si>
    <t>S3-T001</t>
  </si>
  <si>
    <t>Sprint3</t>
  </si>
  <si>
    <t>PBI-13-S3</t>
  </si>
  <si>
    <t>AC-13-S3</t>
  </si>
  <si>
    <t>最终响应式、键盘可访问性与视觉 QA。</t>
  </si>
  <si>
    <t>Must</t>
  </si>
  <si>
    <t>王敬博</t>
  </si>
  <si>
    <t>原始Sprint3待办</t>
  </si>
  <si>
    <t>待执行</t>
  </si>
  <si>
    <t>S2-T024、S2-T032</t>
  </si>
  <si>
    <t>375/768/1366/1440 无横向滚动；关键控件有焦点；图片有 altText；动画遵循 reduced-motion。</t>
  </si>
  <si>
    <t>原始 Sprint3 计划</t>
  </si>
  <si>
    <t>S3-T002</t>
  </si>
  <si>
    <t>PBI-14-A</t>
  </si>
  <si>
    <t>AC-14-A</t>
  </si>
  <si>
    <t>模型、地图、定位、照片存储和数据库异常降级与恢复。</t>
  </si>
  <si>
    <t>陈梓元</t>
  </si>
  <si>
    <t>超时/错误可回表单或同城缓存；定位转人工；照片失败不阻断任务；不破坏唯一 CURRENT；未知事实保持待确认。</t>
  </si>
  <si>
    <t>S3-T003</t>
  </si>
  <si>
    <t>PBI-15-A</t>
  </si>
  <si>
    <t>AC-15-A</t>
  </si>
  <si>
    <t>自动化测试、覆盖率、质量门禁与缺陷清零。</t>
  </si>
  <si>
    <t>林粲涵</t>
  </si>
  <si>
    <t>S3-T001、S3-T002</t>
  </si>
  <si>
    <t>固定硬约束用例违规为 0；核心规划/关怀/校验/预算/重规划覆盖率不低于 75%；无未关闭 P0/P1。</t>
  </si>
  <si>
    <t>S3-T004</t>
  </si>
  <si>
    <t>PBI-15-B</t>
  </si>
  <si>
    <t>AC-15-B</t>
  </si>
  <si>
    <t>RC 部署、测试报告、演示脚本、回退方案与答辩证据归档。</t>
  </si>
  <si>
    <t>正式 RC；北京关怀黄金链连续 3 次通过；校园网和手机流量可访问；交付材料齐全。</t>
  </si>
  <si>
    <t>S3-T005</t>
  </si>
  <si>
    <t>PBI-16-A</t>
  </si>
  <si>
    <t>AC-16-A</t>
  </si>
  <si>
    <t>北京、上海、成都三城完整端到端验证。</t>
  </si>
  <si>
    <t>张琪</t>
  </si>
  <si>
    <t>S2-T030、S2-T032</t>
  </si>
  <si>
    <t>三城完成 CityContext、关怀、地点/路线、唯一 V1、执行事件、V2 决策及回忆；缓存隔离、来源完整。</t>
  </si>
  <si>
    <t>S3-T006</t>
  </si>
  <si>
    <t>PBI-16-B</t>
  </si>
  <si>
    <t>AC-16-B</t>
  </si>
  <si>
    <t>西安、杭州两城在线地点/路线/关怀约束烟测。</t>
  </si>
  <si>
    <t>两城返回同城候选和路线；cityCode 进入请求与缓存键；unknown/estimate 不误判为实时或 0 元。</t>
  </si>
  <si>
    <t>S3-T007</t>
  </si>
  <si>
    <t>PBI-17-A</t>
  </si>
  <si>
    <t>AC-17-A</t>
  </si>
  <si>
    <t>两日 Trip.days[] Schema 序列化、校验、保存与读取兼容验证。</t>
  </si>
  <si>
    <t>Should</t>
  </si>
  <si>
    <t>S3-T002、S3-T003</t>
  </si>
  <si>
    <t>单日写入 days[0]；2 日 Fixture 的 days[0] 与 days[1] 均完整保留且不串日；不要求多日 UI。</t>
  </si>
  <si>
    <t>S3-T008</t>
  </si>
  <si>
    <t>PBI-14-B</t>
  </si>
  <si>
    <t>AC-14-B</t>
  </si>
  <si>
    <t>权威 Trip 的百炼失败降级验证。</t>
  </si>
  <si>
    <t>Alpha扩展待办</t>
  </si>
  <si>
    <t>将权威 Trip 固化为回归夹具；模拟百炼超时/错误/空结果时回到同城缓存或人工确认，不覆盖既有 CURRENT，不把 unknown/estimate 当成真实事实。</t>
  </si>
  <si>
    <t>12小时Alpha扩展：优先保留稳定降级与演示可解释性。</t>
  </si>
  <si>
    <t>S3-T009</t>
  </si>
  <si>
    <t>PBI-18-A</t>
  </si>
  <si>
    <t>AC-18-A</t>
  </si>
  <si>
    <t>账户、密码哈希、会话与用户画像。</t>
  </si>
  <si>
    <t>S2-T032</t>
  </si>
  <si>
    <t>支持注册/登录/退出；密码仅保存哈希；会话可跨刷新恢复；用户画像只保存用户显式填写字段，敏感画像不自动推断。</t>
  </si>
  <si>
    <t>12小时Alpha扩展：未完成时优先保留登录与显式画像。</t>
  </si>
  <si>
    <t>S3-T010</t>
  </si>
  <si>
    <t>PBI-18-B</t>
  </si>
  <si>
    <t>AC-18-B</t>
  </si>
  <si>
    <t>父行程、邀请、成员独立资料与短轮询同步。</t>
  </si>
  <si>
    <t>S3-T009、S3-T007</t>
  </si>
  <si>
    <t>组织者创建父行程并生成邀请；成员加入后维护独立资料；短轮询同步成员资料、预算和子 Trip 状态；不做聊天、WebSocket 或投票。</t>
  </si>
  <si>
    <t>12小时Alpha扩展：优先保留独立成员资料与轻量同步。</t>
  </si>
  <si>
    <t>S3-T011</t>
  </si>
  <si>
    <t>PBI-19-A</t>
  </si>
  <si>
    <t>AC-19-A</t>
  </si>
  <si>
    <t>预算账本和费用来源明细。</t>
  </si>
  <si>
    <t>S3-T009、S3-T010</t>
  </si>
  <si>
    <t>父行程展示预算账本；费用按交通/门票/餐饮/其他列出来源、估算/实时标记和手动修正；不做支付。</t>
  </si>
  <si>
    <t>12小时Alpha扩展：优先保留预算透明度。</t>
  </si>
  <si>
    <t>S3-T012</t>
  </si>
  <si>
    <t>PBI-17-B</t>
  </si>
  <si>
    <t>AC-17-B</t>
  </si>
  <si>
    <t>同城 2-3 天父行程与既有单日子 Trip。</t>
  </si>
  <si>
    <t>S3-T007、S3-T010、S3-T011</t>
  </si>
  <si>
    <t>同城父行程可包含 2-3 天；每日导航进入既有单日子 Trip 流程；预算按天汇总；不做酒店/跨城搜索预订或跨日自动重规划。</t>
  </si>
  <si>
    <t>12小时Alpha扩展：优先保留逐日导航和可演示多日结构。</t>
  </si>
  <si>
    <t>S3-T013</t>
  </si>
  <si>
    <t>PBI-20-A</t>
  </si>
  <si>
    <t>AC-20-A</t>
  </si>
  <si>
    <t>双浏览器协作、跨设备登录、预算和两日/三日演示验收。</t>
  </si>
  <si>
    <t>S2-T024、S2-T032、S3-T008~S3-T012</t>
  </si>
  <si>
    <t>双浏览器分别登录组织者和成员；邀请加入、成员资料隔离、短轮询同步、逐日进入子 Trip、预算来源透明；完成 2 日和 3 日演示证据归档。</t>
  </si>
  <si>
    <t>12小时Alpha扩展验收；范围排除邮箱验证/找回密码、支付、聊天/WebSocket/投票。</t>
  </si>
  <si>
    <t>Sprint 3 收尾口径与追溯</t>
  </si>
  <si>
    <t>事项</t>
  </si>
  <si>
    <t>说明</t>
  </si>
  <si>
    <t>迁移口径</t>
  </si>
  <si>
    <t>仅迁移 Sprint 2 中未完成、进行中和基本完成的可执行任务；已完成任务保留在 Sprint 2。</t>
  </si>
  <si>
    <t>任务数量</t>
  </si>
  <si>
    <t>19 项，合计 34 小时剩余估算。</t>
  </si>
  <si>
    <t>产品待办</t>
  </si>
  <si>
    <t>Sprint 2 PBI 不被重复拆分计点，状态标记为“部分完成，余项转Sprint3”；Sprint 3 文件承担实际收尾排期。</t>
  </si>
  <si>
    <t>验收口径</t>
  </si>
  <si>
    <t>迁入 Sprint 3 不等于重新开始。每项保留原状态，完成后须补充真实 UAT、真实外部服务或公网证据。</t>
  </si>
  <si>
    <t>12小时Alpha扩展范围</t>
  </si>
  <si>
    <t>新增 S3-T008 至 S3-T013，合计 12 小时时间盒；只覆盖 Alpha 收尾闭环。</t>
  </si>
  <si>
    <t>未完成优先保留</t>
  </si>
  <si>
    <t>登录、独立成员资料、逐日导航、预算透明度。</t>
  </si>
  <si>
    <t>明确不做</t>
  </si>
  <si>
    <t>聊天/WebSocket/投票；酒店/跨城搜索预订；支付；邮箱验证/找回密码；自动推断敏感画像；跨日自动重规划。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</si>
</sst>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9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1F4E78"/>
      <name val="Carlito"/>
      <charset val="134"/>
    </font>
    <font>
      <b/>
      <sz val="16"/>
      <color rgb="FFFFFFFF"/>
      <name val="Carlito"/>
      <charset val="134"/>
    </font>
    <font>
      <sz val="11"/>
      <color rgb="FF1F1F1F"/>
      <name val="Carlito"/>
      <charset val="134"/>
    </font>
    <font>
      <b/>
      <sz val="12"/>
      <color rgb="FF1F1F1F"/>
      <name val="Carlito"/>
      <charset val="134"/>
    </font>
    <font>
      <sz val="11"/>
      <color rgb="FF1F4E78"/>
      <name val="Carlito"/>
      <charset val="134"/>
    </font>
    <font>
      <b/>
      <sz val="11"/>
      <color rgb="FF7F6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9FBAD0"/>
      </left>
      <right/>
      <top style="thin">
        <color rgb="FF9FBAD0"/>
      </top>
      <bottom/>
      <diagonal/>
    </border>
    <border>
      <left/>
      <right/>
      <top style="thin">
        <color rgb="FF9FBAD0"/>
      </top>
      <bottom/>
      <diagonal/>
    </border>
    <border>
      <left/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/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9" borderId="17" applyNumberFormat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10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1" xfId="49" applyNumberFormat="1" applyFont="1" applyFill="1" applyBorder="1" applyAlignment="1">
      <alignment horizontal="center" vertical="top" wrapText="1"/>
    </xf>
    <xf numFmtId="0" fontId="3" fillId="4" borderId="1" xfId="49" applyNumberFormat="1" applyFont="1" applyFill="1" applyBorder="1" applyAlignment="1">
      <alignment vertical="top" wrapText="1"/>
    </xf>
    <xf numFmtId="0" fontId="0" fillId="0" borderId="1" xfId="49" applyNumberFormat="1" applyFont="1" applyFill="1" applyBorder="1" applyAlignment="1">
      <alignment vertical="top" wrapText="1"/>
    </xf>
    <xf numFmtId="0" fontId="3" fillId="4" borderId="1" xfId="49" applyNumberFormat="1" applyFont="1" applyFill="1" applyBorder="1" applyAlignment="1">
      <alignment wrapText="1"/>
    </xf>
    <xf numFmtId="0" fontId="0" fillId="0" borderId="1" xfId="49" applyNumberFormat="1" applyFont="1" applyFill="1" applyBorder="1" applyAlignment="1">
      <alignment wrapText="1"/>
    </xf>
    <xf numFmtId="0" fontId="4" fillId="2" borderId="0" xfId="49" applyNumberFormat="1" applyFont="1" applyFill="1" applyBorder="1" applyAlignment="1">
      <alignment horizontal="center" vertical="center"/>
    </xf>
    <xf numFmtId="0" fontId="5" fillId="4" borderId="0" xfId="49" applyNumberFormat="1" applyFont="1" applyFill="1" applyBorder="1" applyAlignment="1">
      <alignment vertical="center" wrapText="1"/>
    </xf>
    <xf numFmtId="0" fontId="3" fillId="5" borderId="2" xfId="49" applyNumberFormat="1" applyFont="1" applyFill="1" applyBorder="1" applyAlignment="1">
      <alignment horizontal="center" wrapText="1"/>
    </xf>
    <xf numFmtId="0" fontId="3" fillId="5" borderId="3" xfId="49" applyNumberFormat="1" applyFont="1" applyFill="1" applyBorder="1" applyAlignment="1">
      <alignment horizontal="center" wrapText="1"/>
    </xf>
    <xf numFmtId="0" fontId="3" fillId="5" borderId="4" xfId="49" applyNumberFormat="1" applyFont="1" applyFill="1" applyBorder="1" applyAlignment="1">
      <alignment horizontal="center" wrapText="1"/>
    </xf>
    <xf numFmtId="0" fontId="6" fillId="5" borderId="5" xfId="49" applyNumberFormat="1" applyFont="1" applyFill="1" applyBorder="1" applyAlignment="1">
      <alignment horizontal="center" wrapText="1"/>
    </xf>
    <xf numFmtId="0" fontId="6" fillId="5" borderId="6" xfId="49" applyNumberFormat="1" applyFont="1" applyFill="1" applyBorder="1" applyAlignment="1">
      <alignment horizontal="center" wrapText="1"/>
    </xf>
    <xf numFmtId="0" fontId="6" fillId="5" borderId="7" xfId="49" applyNumberFormat="1" applyFont="1" applyFill="1" applyBorder="1" applyAlignment="1">
      <alignment horizont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7" fillId="0" borderId="8" xfId="49" applyNumberFormat="1" applyFont="1" applyFill="1" applyBorder="1" applyAlignment="1">
      <alignment vertical="top" wrapText="1"/>
    </xf>
    <xf numFmtId="0" fontId="7" fillId="0" borderId="1" xfId="49" applyNumberFormat="1" applyFont="1" applyFill="1" applyBorder="1" applyAlignment="1">
      <alignment vertical="top" wrapText="1"/>
    </xf>
    <xf numFmtId="0" fontId="0" fillId="0" borderId="1" xfId="49" applyNumberFormat="1" applyFont="1" applyFill="1" applyBorder="1" applyAlignment="1">
      <alignment horizontal="center" vertical="top" wrapText="1"/>
    </xf>
    <xf numFmtId="1" fontId="0" fillId="0" borderId="1" xfId="49" applyNumberFormat="1" applyFont="1" applyFill="1" applyBorder="1" applyAlignment="1">
      <alignment horizontal="center" vertical="top" wrapText="1"/>
    </xf>
    <xf numFmtId="0" fontId="8" fillId="6" borderId="1" xfId="49" applyNumberFormat="1" applyFont="1" applyFill="1" applyBorder="1" applyAlignment="1">
      <alignment horizontal="center" vertical="top" wrapText="1"/>
    </xf>
    <xf numFmtId="0" fontId="0" fillId="0" borderId="9" xfId="49" applyNumberFormat="1" applyFont="1" applyFill="1" applyBorder="1" applyAlignment="1">
      <alignment vertical="top" wrapText="1"/>
    </xf>
    <xf numFmtId="176" fontId="0" fillId="0" borderId="1" xfId="49" applyNumberFormat="1" applyFont="1" applyFill="1" applyBorder="1" applyAlignment="1">
      <alignment horizontal="center" vertical="top" wrapText="1"/>
    </xf>
    <xf numFmtId="0" fontId="7" fillId="0" borderId="10" xfId="49" applyNumberFormat="1" applyFont="1" applyFill="1" applyBorder="1" applyAlignment="1">
      <alignment vertical="top" wrapText="1"/>
    </xf>
    <xf numFmtId="0" fontId="7" fillId="0" borderId="11" xfId="49" applyNumberFormat="1" applyFont="1" applyFill="1" applyBorder="1" applyAlignment="1">
      <alignment vertical="top" wrapText="1"/>
    </xf>
    <xf numFmtId="0" fontId="0" fillId="0" borderId="11" xfId="49" applyNumberFormat="1" applyFont="1" applyFill="1" applyBorder="1" applyAlignment="1">
      <alignment vertical="top" wrapText="1"/>
    </xf>
    <xf numFmtId="0" fontId="0" fillId="0" borderId="11" xfId="49" applyNumberFormat="1" applyFont="1" applyFill="1" applyBorder="1" applyAlignment="1">
      <alignment horizontal="center" vertical="top" wrapText="1"/>
    </xf>
    <xf numFmtId="1" fontId="0" fillId="0" borderId="11" xfId="49" applyNumberFormat="1" applyFont="1" applyFill="1" applyBorder="1" applyAlignment="1">
      <alignment horizontal="center" vertical="top" wrapText="1"/>
    </xf>
    <xf numFmtId="0" fontId="8" fillId="6" borderId="11" xfId="49" applyNumberFormat="1" applyFont="1" applyFill="1" applyBorder="1" applyAlignment="1">
      <alignment horizontal="center" vertical="top" wrapText="1"/>
    </xf>
    <xf numFmtId="0" fontId="0" fillId="0" borderId="12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color rgb="FF1F4E78"/>
      </font>
      <fill>
        <patternFill patternType="solid">
          <bgColor rgb="FFDDEBF7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showGridLines="0" tabSelected="1" topLeftCell="A6" workbookViewId="0">
      <selection activeCell="E13" sqref="E13"/>
    </sheetView>
  </sheetViews>
  <sheetFormatPr defaultColWidth="9" defaultRowHeight="14.1"/>
  <cols>
    <col min="1" max="1" width="15" customWidth="1"/>
    <col min="2" max="2" width="12" customWidth="1"/>
    <col min="3" max="4" width="15" customWidth="1"/>
    <col min="5" max="5" width="42" customWidth="1"/>
    <col min="6" max="6" width="12" customWidth="1"/>
    <col min="7" max="8" width="14" customWidth="1"/>
    <col min="9" max="9" width="16" customWidth="1"/>
    <col min="10" max="10" width="14" customWidth="1"/>
    <col min="11" max="11" width="23" customWidth="1"/>
    <col min="12" max="12" width="48" customWidth="1"/>
    <col min="13" max="13" width="28" customWidth="1"/>
  </cols>
  <sheetData>
    <row r="1" ht="30" customHeight="1" spans="1:1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28" customHeight="1" spans="1:1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ht="28.3" spans="1:13">
      <c r="A4" s="9" t="s">
        <v>2</v>
      </c>
      <c r="B4" s="10"/>
      <c r="C4" s="10" t="s">
        <v>3</v>
      </c>
      <c r="D4" s="10"/>
      <c r="E4" s="10" t="s">
        <v>4</v>
      </c>
      <c r="F4" s="10"/>
      <c r="G4" s="10" t="s">
        <v>5</v>
      </c>
      <c r="H4" s="11"/>
    </row>
    <row r="5" ht="15.4" spans="1:13">
      <c r="A5" s="12">
        <f>COUNTA(A8:A20)</f>
        <v>13</v>
      </c>
      <c r="B5" s="13"/>
      <c r="C5" s="13">
        <f>SUM(G8:G20)</f>
        <v>12</v>
      </c>
      <c r="D5" s="13"/>
      <c r="E5" s="13">
        <f>COUNTIF(B8:B20,"Sprint2")</f>
        <v>0</v>
      </c>
      <c r="F5" s="13"/>
      <c r="G5" s="13">
        <f>COUNTIF(B8:B20,"Sprint3")</f>
        <v>13</v>
      </c>
      <c r="H5" s="14"/>
    </row>
    <row r="7" ht="28" customHeight="1" spans="1:13">
      <c r="A7" s="15" t="s">
        <v>6</v>
      </c>
      <c r="B7" s="15" t="s">
        <v>7</v>
      </c>
      <c r="C7" s="15" t="s">
        <v>8</v>
      </c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</row>
    <row r="8" ht="44" customHeight="1" spans="1:13">
      <c r="A8" s="16" t="s">
        <v>19</v>
      </c>
      <c r="B8" s="17" t="s">
        <v>20</v>
      </c>
      <c r="C8" s="17" t="s">
        <v>21</v>
      </c>
      <c r="D8" s="17" t="s">
        <v>22</v>
      </c>
      <c r="E8" s="4" t="s">
        <v>23</v>
      </c>
      <c r="F8" s="18" t="s">
        <v>24</v>
      </c>
      <c r="G8" s="19"/>
      <c r="H8" s="18" t="s">
        <v>25</v>
      </c>
      <c r="I8" s="18" t="s">
        <v>26</v>
      </c>
      <c r="J8" s="20" t="s">
        <v>27</v>
      </c>
      <c r="K8" s="4" t="s">
        <v>28</v>
      </c>
      <c r="L8" s="4" t="s">
        <v>29</v>
      </c>
      <c r="M8" s="21" t="s">
        <v>30</v>
      </c>
    </row>
    <row r="9" ht="44" customHeight="1" spans="1:13">
      <c r="A9" s="16" t="s">
        <v>31</v>
      </c>
      <c r="B9" s="17" t="s">
        <v>20</v>
      </c>
      <c r="C9" s="17" t="s">
        <v>32</v>
      </c>
      <c r="D9" s="17" t="s">
        <v>33</v>
      </c>
      <c r="E9" s="4" t="s">
        <v>34</v>
      </c>
      <c r="F9" s="18" t="s">
        <v>24</v>
      </c>
      <c r="G9" s="19"/>
      <c r="H9" s="18" t="s">
        <v>35</v>
      </c>
      <c r="I9" s="18" t="s">
        <v>26</v>
      </c>
      <c r="J9" s="20" t="s">
        <v>27</v>
      </c>
      <c r="K9" s="4" t="s">
        <v>28</v>
      </c>
      <c r="L9" s="4" t="s">
        <v>36</v>
      </c>
      <c r="M9" s="21" t="s">
        <v>30</v>
      </c>
    </row>
    <row r="10" ht="44" customHeight="1" spans="1:13">
      <c r="A10" s="16" t="s">
        <v>37</v>
      </c>
      <c r="B10" s="17" t="s">
        <v>20</v>
      </c>
      <c r="C10" s="17" t="s">
        <v>38</v>
      </c>
      <c r="D10" s="17" t="s">
        <v>39</v>
      </c>
      <c r="E10" s="4" t="s">
        <v>40</v>
      </c>
      <c r="F10" s="18" t="s">
        <v>24</v>
      </c>
      <c r="G10" s="19"/>
      <c r="H10" s="18" t="s">
        <v>41</v>
      </c>
      <c r="I10" s="18" t="s">
        <v>26</v>
      </c>
      <c r="J10" s="20" t="s">
        <v>27</v>
      </c>
      <c r="K10" s="4" t="s">
        <v>42</v>
      </c>
      <c r="L10" s="4" t="s">
        <v>43</v>
      </c>
      <c r="M10" s="21" t="s">
        <v>30</v>
      </c>
    </row>
    <row r="11" ht="44" customHeight="1" spans="1:13">
      <c r="A11" s="16" t="s">
        <v>44</v>
      </c>
      <c r="B11" s="17" t="s">
        <v>20</v>
      </c>
      <c r="C11" s="17" t="s">
        <v>45</v>
      </c>
      <c r="D11" s="17" t="s">
        <v>46</v>
      </c>
      <c r="E11" s="4" t="s">
        <v>47</v>
      </c>
      <c r="F11" s="18" t="s">
        <v>24</v>
      </c>
      <c r="G11" s="19"/>
      <c r="H11" s="18" t="s">
        <v>25</v>
      </c>
      <c r="I11" s="18" t="s">
        <v>26</v>
      </c>
      <c r="J11" s="20" t="s">
        <v>27</v>
      </c>
      <c r="K11" s="4" t="s">
        <v>37</v>
      </c>
      <c r="L11" s="4" t="s">
        <v>48</v>
      </c>
      <c r="M11" s="21" t="s">
        <v>30</v>
      </c>
    </row>
    <row r="12" ht="44" customHeight="1" spans="1:13">
      <c r="A12" s="16" t="s">
        <v>49</v>
      </c>
      <c r="B12" s="17" t="s">
        <v>20</v>
      </c>
      <c r="C12" s="17" t="s">
        <v>50</v>
      </c>
      <c r="D12" s="17" t="s">
        <v>51</v>
      </c>
      <c r="E12" s="4" t="s">
        <v>52</v>
      </c>
      <c r="F12" s="18" t="s">
        <v>24</v>
      </c>
      <c r="G12" s="19"/>
      <c r="H12" s="18" t="s">
        <v>53</v>
      </c>
      <c r="I12" s="18" t="s">
        <v>26</v>
      </c>
      <c r="J12" s="20" t="s">
        <v>27</v>
      </c>
      <c r="K12" s="4" t="s">
        <v>54</v>
      </c>
      <c r="L12" s="4" t="s">
        <v>55</v>
      </c>
      <c r="M12" s="21" t="s">
        <v>30</v>
      </c>
    </row>
    <row r="13" ht="44" customHeight="1" spans="1:13">
      <c r="A13" s="16" t="s">
        <v>56</v>
      </c>
      <c r="B13" s="17" t="s">
        <v>20</v>
      </c>
      <c r="C13" s="17" t="s">
        <v>57</v>
      </c>
      <c r="D13" s="17" t="s">
        <v>58</v>
      </c>
      <c r="E13" s="4" t="s">
        <v>59</v>
      </c>
      <c r="F13" s="18" t="s">
        <v>24</v>
      </c>
      <c r="G13" s="19"/>
      <c r="H13" s="18" t="s">
        <v>53</v>
      </c>
      <c r="I13" s="18" t="s">
        <v>26</v>
      </c>
      <c r="J13" s="20" t="s">
        <v>27</v>
      </c>
      <c r="K13" s="4" t="s">
        <v>49</v>
      </c>
      <c r="L13" s="4" t="s">
        <v>60</v>
      </c>
      <c r="M13" s="21" t="s">
        <v>30</v>
      </c>
    </row>
    <row r="14" ht="44" customHeight="1" spans="1:13">
      <c r="A14" s="16" t="s">
        <v>61</v>
      </c>
      <c r="B14" s="17" t="s">
        <v>20</v>
      </c>
      <c r="C14" s="17" t="s">
        <v>62</v>
      </c>
      <c r="D14" s="17" t="s">
        <v>63</v>
      </c>
      <c r="E14" s="4" t="s">
        <v>64</v>
      </c>
      <c r="F14" s="18" t="s">
        <v>65</v>
      </c>
      <c r="G14" s="19"/>
      <c r="H14" s="18" t="s">
        <v>35</v>
      </c>
      <c r="I14" s="18" t="s">
        <v>26</v>
      </c>
      <c r="J14" s="20" t="s">
        <v>27</v>
      </c>
      <c r="K14" s="4" t="s">
        <v>66</v>
      </c>
      <c r="L14" s="4" t="s">
        <v>67</v>
      </c>
      <c r="M14" s="21" t="s">
        <v>30</v>
      </c>
    </row>
    <row r="15" ht="54" customHeight="1" spans="1:13">
      <c r="A15" s="16" t="s">
        <v>68</v>
      </c>
      <c r="B15" s="17" t="s">
        <v>20</v>
      </c>
      <c r="C15" s="17" t="s">
        <v>69</v>
      </c>
      <c r="D15" s="17" t="s">
        <v>70</v>
      </c>
      <c r="E15" s="4" t="s">
        <v>71</v>
      </c>
      <c r="F15" s="18" t="s">
        <v>24</v>
      </c>
      <c r="G15" s="22">
        <v>1</v>
      </c>
      <c r="H15" s="18" t="s">
        <v>35</v>
      </c>
      <c r="I15" s="18" t="s">
        <v>72</v>
      </c>
      <c r="J15" s="20" t="s">
        <v>27</v>
      </c>
      <c r="K15" s="4" t="s">
        <v>31</v>
      </c>
      <c r="L15" s="4" t="s">
        <v>73</v>
      </c>
      <c r="M15" s="21" t="s">
        <v>74</v>
      </c>
    </row>
    <row r="16" ht="54" customHeight="1" spans="1:13">
      <c r="A16" s="16" t="s">
        <v>75</v>
      </c>
      <c r="B16" s="17" t="s">
        <v>20</v>
      </c>
      <c r="C16" s="17" t="s">
        <v>76</v>
      </c>
      <c r="D16" s="17" t="s">
        <v>77</v>
      </c>
      <c r="E16" s="4" t="s">
        <v>78</v>
      </c>
      <c r="F16" s="18" t="s">
        <v>24</v>
      </c>
      <c r="G16" s="22">
        <v>2</v>
      </c>
      <c r="H16" s="18" t="s">
        <v>35</v>
      </c>
      <c r="I16" s="18" t="s">
        <v>72</v>
      </c>
      <c r="J16" s="20" t="s">
        <v>27</v>
      </c>
      <c r="K16" s="4" t="s">
        <v>79</v>
      </c>
      <c r="L16" s="4" t="s">
        <v>80</v>
      </c>
      <c r="M16" s="21" t="s">
        <v>81</v>
      </c>
    </row>
    <row r="17" ht="54" customHeight="1" spans="1:13">
      <c r="A17" s="16" t="s">
        <v>82</v>
      </c>
      <c r="B17" s="17" t="s">
        <v>20</v>
      </c>
      <c r="C17" s="17" t="s">
        <v>83</v>
      </c>
      <c r="D17" s="17" t="s">
        <v>84</v>
      </c>
      <c r="E17" s="4" t="s">
        <v>85</v>
      </c>
      <c r="F17" s="18" t="s">
        <v>24</v>
      </c>
      <c r="G17" s="22">
        <v>2.5</v>
      </c>
      <c r="H17" s="18" t="s">
        <v>41</v>
      </c>
      <c r="I17" s="18" t="s">
        <v>72</v>
      </c>
      <c r="J17" s="20" t="s">
        <v>27</v>
      </c>
      <c r="K17" s="4" t="s">
        <v>86</v>
      </c>
      <c r="L17" s="4" t="s">
        <v>87</v>
      </c>
      <c r="M17" s="21" t="s">
        <v>88</v>
      </c>
    </row>
    <row r="18" ht="54" customHeight="1" spans="1:13">
      <c r="A18" s="16" t="s">
        <v>89</v>
      </c>
      <c r="B18" s="17" t="s">
        <v>20</v>
      </c>
      <c r="C18" s="17" t="s">
        <v>90</v>
      </c>
      <c r="D18" s="17" t="s">
        <v>91</v>
      </c>
      <c r="E18" s="4" t="s">
        <v>92</v>
      </c>
      <c r="F18" s="18" t="s">
        <v>24</v>
      </c>
      <c r="G18" s="22">
        <v>1.5</v>
      </c>
      <c r="H18" s="18" t="s">
        <v>25</v>
      </c>
      <c r="I18" s="18" t="s">
        <v>72</v>
      </c>
      <c r="J18" s="20" t="s">
        <v>27</v>
      </c>
      <c r="K18" s="4" t="s">
        <v>93</v>
      </c>
      <c r="L18" s="4" t="s">
        <v>94</v>
      </c>
      <c r="M18" s="21" t="s">
        <v>95</v>
      </c>
    </row>
    <row r="19" ht="54" customHeight="1" spans="1:13">
      <c r="A19" s="16" t="s">
        <v>96</v>
      </c>
      <c r="B19" s="17" t="s">
        <v>20</v>
      </c>
      <c r="C19" s="17" t="s">
        <v>97</v>
      </c>
      <c r="D19" s="17" t="s">
        <v>98</v>
      </c>
      <c r="E19" s="4" t="s">
        <v>99</v>
      </c>
      <c r="F19" s="18" t="s">
        <v>24</v>
      </c>
      <c r="G19" s="22">
        <v>2</v>
      </c>
      <c r="H19" s="18" t="s">
        <v>53</v>
      </c>
      <c r="I19" s="18" t="s">
        <v>72</v>
      </c>
      <c r="J19" s="20" t="s">
        <v>27</v>
      </c>
      <c r="K19" s="4" t="s">
        <v>100</v>
      </c>
      <c r="L19" s="4" t="s">
        <v>101</v>
      </c>
      <c r="M19" s="21" t="s">
        <v>102</v>
      </c>
    </row>
    <row r="20" ht="54" customHeight="1" spans="1:13">
      <c r="A20" s="16" t="s">
        <v>103</v>
      </c>
      <c r="B20" s="17" t="s">
        <v>20</v>
      </c>
      <c r="C20" s="17" t="s">
        <v>104</v>
      </c>
      <c r="D20" s="17" t="s">
        <v>105</v>
      </c>
      <c r="E20" s="4" t="s">
        <v>106</v>
      </c>
      <c r="F20" s="18" t="s">
        <v>24</v>
      </c>
      <c r="G20" s="22">
        <v>3</v>
      </c>
      <c r="H20" s="18" t="s">
        <v>41</v>
      </c>
      <c r="I20" s="18" t="s">
        <v>72</v>
      </c>
      <c r="J20" s="20" t="s">
        <v>27</v>
      </c>
      <c r="K20" s="4" t="s">
        <v>107</v>
      </c>
      <c r="L20" s="4" t="s">
        <v>108</v>
      </c>
      <c r="M20" s="21" t="s">
        <v>109</v>
      </c>
    </row>
    <row r="21" ht="44" customHeight="1" spans="1:13">
      <c r="A21" s="16"/>
      <c r="B21" s="17"/>
      <c r="C21" s="17"/>
      <c r="D21" s="17"/>
      <c r="E21" s="4"/>
      <c r="F21" s="18"/>
      <c r="G21" s="19"/>
      <c r="H21" s="18"/>
      <c r="I21" s="18"/>
      <c r="J21" s="20"/>
      <c r="K21" s="4"/>
      <c r="L21" s="4"/>
      <c r="M21" s="21"/>
    </row>
    <row r="22" ht="44" customHeight="1" spans="1:13">
      <c r="A22" s="16"/>
      <c r="B22" s="17"/>
      <c r="C22" s="17"/>
      <c r="D22" s="17"/>
      <c r="E22" s="4"/>
      <c r="F22" s="18"/>
      <c r="G22" s="19"/>
      <c r="H22" s="18"/>
      <c r="I22" s="18"/>
      <c r="J22" s="20"/>
      <c r="K22" s="4"/>
      <c r="L22" s="4"/>
      <c r="M22" s="21"/>
    </row>
    <row r="23" ht="44" customHeight="1" spans="1:13">
      <c r="A23" s="16"/>
      <c r="B23" s="17"/>
      <c r="C23" s="17"/>
      <c r="D23" s="17"/>
      <c r="E23" s="4"/>
      <c r="F23" s="18"/>
      <c r="G23" s="19"/>
      <c r="H23" s="18"/>
      <c r="I23" s="18"/>
      <c r="J23" s="20"/>
      <c r="K23" s="4"/>
      <c r="L23" s="4"/>
      <c r="M23" s="21"/>
    </row>
    <row r="24" ht="44" customHeight="1" spans="1:13">
      <c r="A24" s="23"/>
      <c r="B24" s="24"/>
      <c r="C24" s="24"/>
      <c r="D24" s="24"/>
      <c r="E24" s="25"/>
      <c r="F24" s="26"/>
      <c r="G24" s="27"/>
      <c r="H24" s="26"/>
      <c r="I24" s="26"/>
      <c r="J24" s="28"/>
      <c r="K24" s="25"/>
      <c r="L24" s="25"/>
      <c r="M24" s="29"/>
    </row>
  </sheetData>
  <mergeCells count="2">
    <mergeCell ref="A1:M1"/>
    <mergeCell ref="A2:M2"/>
  </mergeCells>
  <conditionalFormatting sqref="I8:I24">
    <cfRule type="containsText" dxfId="0" priority="1" operator="between" text="基本完成">
      <formula>NOT(ISERROR(SEARCH("基本完成",I8)))</formula>
    </cfRule>
    <cfRule type="containsText" dxfId="1" priority="2" operator="between" text="进行中">
      <formula>NOT(ISERROR(SEARCH("进行中",I8)))</formula>
    </cfRule>
    <cfRule type="containsText" dxfId="2" priority="3" operator="between" text="未开始">
      <formula>NOT(ISERROR(SEARCH("未开始",I8)))</formula>
    </cfRule>
  </conditionalFormatting>
  <dataValidations count="1">
    <dataValidation type="list" sqref="J8:J24">
      <formula1>"待办,进行中,已完成,阻塞"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showGridLines="0" workbookViewId="0">
      <selection activeCell="A1" sqref="A1:F1"/>
    </sheetView>
  </sheetViews>
  <sheetFormatPr defaultColWidth="9" defaultRowHeight="14.1" outlineLevelCol="5"/>
  <cols>
    <col min="1" max="1" width="18" customWidth="1"/>
    <col min="2" max="2" width="95" customWidth="1"/>
  </cols>
  <sheetData>
    <row r="1" ht="19.25" spans="1:6">
      <c r="A1" s="1" t="s">
        <v>110</v>
      </c>
      <c r="B1" s="1"/>
      <c r="C1" s="1"/>
      <c r="D1" s="1"/>
      <c r="E1" s="1"/>
      <c r="F1" s="1"/>
    </row>
    <row r="3" ht="36" customHeight="1" spans="1:6">
      <c r="A3" s="2" t="s">
        <v>111</v>
      </c>
      <c r="B3" s="2" t="s">
        <v>112</v>
      </c>
    </row>
    <row r="4" ht="36" customHeight="1" spans="1:6">
      <c r="A4" s="3" t="s">
        <v>113</v>
      </c>
      <c r="B4" s="4" t="s">
        <v>114</v>
      </c>
    </row>
    <row r="5" ht="36" customHeight="1" spans="1:6">
      <c r="A5" s="3" t="s">
        <v>115</v>
      </c>
      <c r="B5" s="4" t="s">
        <v>116</v>
      </c>
    </row>
    <row r="6" ht="36" customHeight="1" spans="1:6">
      <c r="A6" s="3" t="s">
        <v>117</v>
      </c>
      <c r="B6" s="4" t="s">
        <v>118</v>
      </c>
    </row>
    <row r="7" ht="36" customHeight="1" spans="1:6">
      <c r="A7" s="3" t="s">
        <v>119</v>
      </c>
      <c r="B7" s="4" t="s">
        <v>120</v>
      </c>
    </row>
    <row r="8" ht="58" customHeight="1" spans="1:6">
      <c r="A8" s="5" t="s">
        <v>121</v>
      </c>
      <c r="B8" s="6" t="s">
        <v>122</v>
      </c>
    </row>
    <row r="9" ht="58" customHeight="1" spans="1:6">
      <c r="A9" s="5" t="s">
        <v>123</v>
      </c>
      <c r="B9" s="6" t="s">
        <v>124</v>
      </c>
    </row>
    <row r="10" ht="58" customHeight="1" spans="1:6">
      <c r="A10" s="5" t="s">
        <v>125</v>
      </c>
      <c r="B10" s="6" t="s">
        <v>126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Sprint3收尾待办</vt:lpstr>
      <vt:lpstr>迁移说明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易知辞.</cp:lastModifiedBy>
  <dcterms:created xsi:type="dcterms:W3CDTF">2026-08-31T15:15:47Z</dcterms:created>
  <dcterms:modified xsi:type="dcterms:W3CDTF">2026-08-31T15:16:16Z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E9FBDB575FD24C218505D347B5B3E58A_12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