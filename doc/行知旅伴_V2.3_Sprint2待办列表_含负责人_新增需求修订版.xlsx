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a87de9d71548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版权说明" sheetId="4" r:id="Rd5e57879ee784f36"/>
    <x:sheet xmlns:r="http://schemas.openxmlformats.org/officeDocument/2006/relationships" name="SprintBacklog模板" sheetId="2" r:id="R390cf646446e4cd0"/>
    <x:sheet xmlns:r="http://schemas.openxmlformats.org/officeDocument/2006/relationships" name="燃尽图" sheetId="5" r:id="R21111b1bd1084d35"/>
    <x:sheet xmlns:r="http://schemas.openxmlformats.org/officeDocument/2006/relationships" name="PBI追溯" sheetId="6" r:id="R3ff38968576a4126"/>
    <x:sheet xmlns:r="http://schemas.openxmlformats.org/officeDocument/2006/relationships" name="LLM接入设计" sheetId="7" r:id="Rdb46c7c8a27f4e35"/>
    <x:sheet xmlns:r="http://schemas.openxmlformats.org/officeDocument/2006/relationships" name="LLM JSON契约" sheetId="8" r:id="Rb3c9147ce37e4598"/>
    <x:sheet xmlns:r="http://schemas.openxmlformats.org/officeDocument/2006/relationships" name="用户功能验收清单" sheetId="9" r:id="R35ee1969adf742fd"/>
  </x:sheets>
</x:workbook>
</file>

<file path=xl/comments1.xml><?xml version="1.0" encoding="utf-8"?>
<x:comments xmlns:x="http://schemas.openxmlformats.org/spreadsheetml/2006/main">
  <x:authors>
    <x:author>作者</x:author>
  </x:authors>
  <x:commentList>
    <x:comment ref="C1" authorId="0">
      <x:text>
        <x:r>
          <x:t>作者:
示例团队的速率为80个故事点</x:t>
        </x:r>
      </x:text>
    </x:comment>
    <x:comment ref="E1" authorId="0">
      <x:text>
        <x:r>
          <x:t>作者:
优先级预留后面两位，使调整优先级的时候更加方便</x:t>
        </x:r>
      </x:text>
    </x:comment>
    <x:comment ref="G3" authorId="0">
      <x:text>
        <x:r>
          <x:t>作者:
Sprint承诺完成600h工作量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<x:sst xmlns:x="http://schemas.openxmlformats.org/spreadsheetml/2006/main">
  <x:si>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行知旅伴 V2.3 · Sprint 2 待办列表（新增需求修订版）</x:t>
  </x:si>
  <x:si>
    <x:t xml:space="preserve">本版落实：固定六问对话式收集、一次性邀请链接、多人会话隔离、READY_TO_PLAN 门禁、FactRef 白名单推荐、用户功能验收清单，并修复燃尽/PBI追溯/动态公式缺陷。</x:t>
  </x:si>
  <x:si>
    <x:t xml:space="preserve">直接基线</x:t>
  </x:si>
  <x:si>
    <x:t xml:space="preserve">实际存在并内容匹配的文件：C:/Users/lenovo/Desktop/实训/outputs/01a03be1-72a4-7842-82c4-19ee6b668f6b/行知旅伴_V2.3_Sprint2待办列表_含负责人 (2).xlsx</x:t>
  </x:si>
  <x:si>
    <x:t xml:space="preserve">用户引用路径核对</x:t>
  </x:si>
  <x:si>
    <x:t xml:space="preserve">用户给出的“前端统一负责人_用户故事修订版.xlsx”路径不存在；候选文件版权说明 A1 自标“前端统一负责人 / 用户故事修订版”，故采用候选文件为直接基线。</x:t>
  </x:si>
  <x:si>
    <x:t xml:space="preserve">Sprint Goal</x:t>
  </x:si>
  <x:si>
    <x:t xml:space="preserve">以固定六问完成组织者和成员资料收集；全员确认且硬冲突解决后，基于高德/缓存 FactRef 签发唯一公平推荐，并完成执行、照片、LATE/FATIGUE V2、回忆页和响应式公网验收。</x:t>
  </x:si>
  <x:si>
    <x:t xml:space="preserve">范围决策</x:t>
  </x:si>
  <x:si>
    <x:t xml:space="preserve">独立邀请加入从 Future 提升进 Sprint 2；S2 主入口改为固定六问，不再以目的地/日期/预算/兴趣并排手工表单为主要入口。</x:t>
  </x:si>
  <x:si>
    <x:t xml:space="preserve">安全边界</x:t>
  </x:si>
  <x:si>
    <x:t xml:space="preserve">千问只提取/解释；高德只提供地点/路线/价格/设施事实；后端确定性模块负责冲突、评分、排序、PASS、状态迁移；前端只收集、展示、确认。</x:t>
  </x:si>
  <x:si>
    <x:t xml:space="preserve">工时口径</x:t>
  </x:si>
  <x:si>
    <x:t xml:space="preserve">原计划 48h；纯新增 12h；修订后 60h。按当前主线代码和测试证据保守估算已完成/基本完成约 25h，剩余约 35h。</x:t>
  </x:si>
  <x:si>
    <x:t xml:space="preserve">人员决策</x:t>
  </x:si>
  <x:si>
    <x:t xml:space="preserve">证据口径</x:t>
  </x:si>
  <x:si>
    <x:t xml:space="preserve">只按已合入当前 main、可测试、可从用户入口验证计入；分支或局部骨架不算完成。</x:t>
  </x:si>
  <x:si>
    <x:t xml:space="preserve">仓库核验</x:t>
  </x:si>
  <x:si>
    <x:t xml:space="preserve">当前仓库：C:/Users/lenovo/Desktop/实训/2026lindashixun12zu；main 比 origin/main ahead 5；已只读检查，未改项目代码。</x:t>
  </x:si>
  <x:si>
    <x:t xml:space="preserve">修订日期</x:t>
  </x:si>
  <x:si>
    <x:t xml:space="preserve">2026-08-27</x:t>
  </x:si>
  <x:si>
    <x:t xml:space="preserve">输出文件</x:t>
  </x:si>
  <x:si>
    <x:t xml:space="preserve">C:/Users/lenovo/Desktop/实训/outputs/01a03be1-72a4-7842-82c4-19ee6b668f6b/行知旅伴_V2.3_Sprint2待办列表_含负责人_新增需求修订版.xlsx</x:t>
  </x:si>
  <x:si>
    <x:t xml:space="preserve">仍需人工确认</x:t>
  </x:si>
  <x:si>
    <x:t xml:space="preserve">公网真实高德 Key、百炼 Key、两成员多浏览器录屏、375/768 截图、老师验收签字。</x:t>
  </x:si>
  <x:si>
    <x:t xml:space="preserve">燃尽图由 SprintBacklog模板 中的数据自动生成。</x:t>
  </x:si>
  <x:si>
    <x:t xml:space="preserve">本模板由Scrum中文网提供，欢迎推荐给任何在实践Scrum的朋友使用。</x:t>
  </x:si>
  <x:si>
    <x:t xml:space="preserve">Scrum中文网(ScrumCN.COM)版权所有</x:t>
  </x:si>
  <x:si>
    <x:t xml:space="preserve">Task-ID</x:t>
  </x:si>
  <x:si>
    <x:t xml:space="preserve">PBI-ID</x:t>
  </x:si>
  <x:si>
    <x:t xml:space="preserve">AC-ID</x:t>
  </x:si>
  <x:si>
    <x:t xml:space="preserve">用户故事（用户可理解）</x:t>
  </x:si>
  <x:si>
    <x:t xml:space="preserve">团队执行 Task（内部）</x:t>
  </x:si>
  <x:si>
    <x:t xml:space="preserve">优先级</x:t>
  </x:si>
  <x:si>
    <x:t xml:space="preserve">PBI Story Point
（不换算工时）</x:t>
  </x:si>
  <x:si>
    <x:t xml:space="preserve">估算/剩余（小时）</x:t>
  </x:si>
  <x:si>
    <x:t xml:space="preserve">计划完成日</x:t>
  </x:si>
  <x:si>
    <x:t xml:space="preserve">前置依赖</x:t>
  </x:si>
  <x:si>
    <x:t xml:space="preserve">负责人</x:t>
  </x:si>
  <x:si>
    <x:t xml:space="preserve">可协作人 / 动态评审</x:t>
  </x:si>
  <x:si>
    <x:t xml:space="preserve">状态</x:t>
  </x:si>
  <x:si>
    <x:t xml:space="preserve">验收条件</x:t>
  </x:si>
  <x:si>
    <x:t xml:space="preserve">交付证据</x:t>
  </x:si>
  <x:si>
    <x:t xml:space="preserve">Day1 计划</x:t>
  </x:si>
  <x:si>
    <x:t xml:space="preserve">Day1 实际</x:t>
  </x:si>
  <x:si>
    <x:t xml:space="preserve">Day2 计划</x:t>
  </x:si>
  <x:si>
    <x:t xml:space="preserve">Day2 实际</x:t>
  </x:si>
  <x:si>
    <x:t xml:space="preserve">Day3 计划</x:t>
  </x:si>
  <x:si>
    <x:t xml:space="preserve">Day3 实际</x:t>
  </x:si>
  <x:si>
    <x:t xml:space="preserve">完成判定</x:t>
  </x:si>
  <x:si>
    <x:t xml:space="preserve">S2-T001</x:t>
  </x:si>
  <x:si>
    <x:t xml:space="preserve">PBI-07-A</x:t>
  </x:si>
  <x:si>
    <x:t xml:space="preserve">AC-07-A</x:t>
  </x:si>
  <x:si>
    <x:t xml:space="preserve">作为组织者，我想在规划前先让系统理解 2-3 人需求并生成确认项，以免成员信息缺失或冲突。</x:t>
  </x:si>
  <x:si>
    <x:t xml:space="preserve">收尾 TripDraft 多人 JSON 契约、成员卡、字段证据、缺项/歧义/关怀草稿 Fixture。</x:t>
  </x:si>
  <x:si>
    <x:t xml:space="preserve">Must</x:t>
  </x:si>
  <x:si>
    <x:t xml:space="preserve">Day1</x:t>
  </x:si>
  <x:si>
    <x:t xml:space="preserve">现有 TripDraft/千问示例</x:t>
  </x:si>
  <x:si>
    <x:t xml:space="preserve">陈梓元</x:t>
  </x:si>
  <x:si>
    <x:t xml:space="preserve">张琪评审</x:t>
  </x:si>
  <x:si>
    <x:t xml:space="preserve">Schema extra=forbid；2/3 人 Fixture；模型只产草稿。</x:t>
  </x:si>
  <x:si>
    <x:t xml:space="preserve">app/domain/trip_draft.py；backend/tests/test_trip_draft_llm_integration.py</x:t>
  </x:si>
  <x:si>
    <x:t xml:space="preserve">S2-T002</x:t>
  </x:si>
  <x:si>
    <x:t xml:space="preserve">作为组织者，我想确认同一份草稿而不是每次重复解析，以便减少模型调用并保证可追溯。</x:t>
  </x:si>
  <x:si>
    <x:t xml:space="preserve">收尾 draftId/revision 保存、确认复用、关键字段修改后旧确认失效。</x:t>
  </x:si>
  <x:si>
    <x:t xml:space="preserve">66</x:t>
  </x:si>
  <x:si>
    <x:t xml:space="preserve">林粲涵评审</x:t>
  </x:si>
  <x:si>
    <x:t xml:space="preserve">一次确认流程只解析一次；修改对应问题后重新解析。</x:t>
  </x:si>
  <x:si>
    <x:t xml:space="preserve">app/application/trip_draft_service.py；待补调用计数验收</x:t>
  </x:si>
  <x:si>
    <x:t xml:space="preserve">S2-T003</x:t>
  </x:si>
  <x:si>
    <x:t xml:space="preserve">作为组织者，我想在全员确认前看到定位到成员的硬冲突，以便先协商再规划。</x:t>
  </x:si>
  <x:si>
    <x:t xml:space="preserve">收尾多人必填、时间、预算和硬冲突校验，输出 participantId/ruleId/原因/可放宽项。</x:t>
  </x:si>
  <x:si>
    <x:t xml:space="preserve">S2-T001,S2-T002</x:t>
  </x:si>
  <x:si>
    <x:t xml:space="preserve">未确认或硬冲突未解决时 Provider/推荐/规划调用均为 0。</x:t>
  </x:si>
  <x:si>
    <x:t xml:space="preserve">app/infrastructure/collaboration_store.py；backend/tests/test_collaboration_store.py</x:t>
  </x:si>
  <x:si>
    <x:t xml:space="preserve">S2-T004</x:t>
  </x:si>
  <x:si>
    <x:t xml:space="preserve">作为用户，我希望模型失败时还能用固定问题补全需求，以便不被卡住。</x:t>
  </x:si>
  <x:si>
    <x:t xml:space="preserve">收尾百炼/qwen 接入超时、一次传输重试、非法 JSON 降级。</x:t>
  </x:si>
  <x:si>
    <x:t xml:space="preserve">Day2</x:t>
  </x:si>
  <x:si>
    <x:t xml:space="preserve">S2-T001~T003</x:t>
  </x:si>
  <x:si>
    <x:t xml:space="preserve">超时 8-12 秒；失败回规则/表单；不写正式状态。</x:t>
  </x:si>
  <x:si>
    <x:t xml:space="preserve">app/infrastructure/bailian.py；doc/ai_usage.md</x:t>
  </x:si>
  <x:si>
    <x:t xml:space="preserve">S2-T005</x:t>
  </x:si>
  <x:si>
    <x:t xml:space="preserve">PBI-11-A</x:t>
  </x:si>
  <x:si>
    <x:t xml:space="preserve">AC-11-A</x:t>
  </x:si>
  <x:si>
    <x:t xml:space="preserve">作为用户，我想 1/2/3 人执行流程都能开始、完成、调整和恢复，以便多人不破坏旧流程。</x:t>
  </x:si>
  <x:si>
    <x:t xml:space="preserve">收尾 1/2/3 人执行与版本兼容层。</x:t>
  </x:si>
  <x:si>
    <x:t xml:space="preserve">唯一 CURRENT；接受/拒绝原子切换；三组回归。</x:t>
  </x:si>
  <x:si>
    <x:t xml:space="preserve">app/application/plan_service.py；待补 2/3 人前端回归</x:t>
  </x:si>
  <x:si>
    <x:t xml:space="preserve">S2-T006</x:t>
  </x:si>
  <x:si>
    <x:t xml:space="preserve">PBI-08-A</x:t>
  </x:si>
  <x:si>
    <x:t xml:space="preserve">AC-08-A</x:t>
  </x:si>
  <x:si>
    <x:t xml:space="preserve">作为用户，我想推荐只基于真实地点事实，以便模型不能编造价格或路线。</x:t>
  </x:si>
  <x:si>
    <x:t xml:space="preserve">从陈梓元转给张琪：FactRef 注册、摘要与签发边界收尾。</x:t>
  </x:si>
  <x:si>
    <x:t xml:space="preserve">Provider/cache</x:t>
  </x:si>
  <x:si>
    <x:t xml:space="preserve">张琪</x:t>
  </x:si>
  <x:si>
    <x:t xml:space="preserve">陈梓元交接</x:t>
  </x:si>
  <x:si>
    <x:t xml:space="preserve">无有效 FactRef/digest 不进入规划；篡改零写入。</x:t>
  </x:si>
  <x:si>
    <x:t xml:space="preserve">app/application/recommendation_service.py；backend/tests/test_s2_t009_recommendation_orchestration.py</x:t>
  </x:si>
  <x:si>
    <x:t xml:space="preserve">S2-T007</x:t>
  </x:si>
  <x:si>
    <x:t xml:space="preserve">作为用户，我想看到每位成员得分与扣分原因，以便理解公平推荐。</x:t>
  </x:si>
  <x:si>
    <x:t xml:space="preserve">服务端满意度与公平裁决：最低分、平均分、费用、绕路、稳定 ID。</x:t>
  </x:si>
  <x:si>
    <x:t xml:space="preserve">多人 Fixture</x:t>
  </x:si>
  <x:si>
    <x:t xml:space="preserve">客户端自报 satisfactionLoss 不能改变排序。</x:t>
  </x:si>
  <x:si>
    <x:t xml:space="preserve">app/services/fairness.py；backend/tests/test_s2_t007_fairness.py</x:t>
  </x:si>
  <x:si>
    <x:t xml:space="preserve">S2-T008</x:t>
  </x:si>
  <x:si>
    <x:t xml:space="preserve">作为用户，我希望 AI 只在可信地点白名单里排序，以便推荐仍可验证。</x:t>
  </x:si>
  <x:si>
    <x:t xml:space="preserve">千问候选提议 Gateway：只返回白名单 ID、顺序、短理由、风险提示。</x:t>
  </x:si>
  <x:si>
    <x:t xml:space="preserve">林粲涵</x:t>
  </x:si>
  <x:si>
    <x:t xml:space="preserve">非 JSON/越界/重复/额外字段直接确定性回退，不修复重试。</x:t>
  </x:si>
  <x:si>
    <x:t xml:space="preserve">app/infrastructure/openai_compatible_llm.py；backend/tests/test_s2_t008_candidate_selection_gateway.py</x:t>
  </x:si>
  <x:si>
    <x:t xml:space="preserve">S2-T009</x:t>
  </x:si>
  <x:si>
    <x:t xml:space="preserve">作为用户，我想得到唯一且兼顾成员的推荐方案，以便不用在多个方案间猜。</x:t>
  </x:si>
  <x:si>
    <x:t xml:space="preserve">推荐编排接口：恢复 FactRef、调用千问、白名单校验、真实路线候选、公平排序。</x:t>
  </x:si>
  <x:si>
    <x:t xml:space="preserve">S2-T006,T007,T008</x:t>
  </x:si>
  <x:si>
    <x:t xml:space="preserve">最终只返回一个方案；模型失败走确定性枚举。</x:t>
  </x:si>
  <x:si>
    <x:t xml:space="preserve">app/api/recommendation_routes.py；backend/tests/test_s2_t009_recommendation_orchestration.py</x:t>
  </x:si>
  <x:si>
    <x:t xml:space="preserve">S2-T010</x:t>
  </x:si>
  <x:si>
    <x:t xml:space="preserve">作为用户，我想在页面上确认成员信息和唯一推荐，以便看懂妥协点后继续。</x:t>
  </x:si>
  <x:si>
    <x:t xml:space="preserve">需求确认与公平推荐前端收尾：成员确认卡、来源、成绩、扣分、照顾点、唯一方案。</x:t>
  </x:si>
  <x:si>
    <x:t xml:space="preserve">S2-T002,S2-T009</x:t>
  </x:si>
  <x:si>
    <x:t xml:space="preserve">王敬博</x:t>
  </x:si>
  <x:si>
    <x:t xml:space="preserve">陈梓元提供 Fixture</x:t>
  </x:si>
  <x:si>
    <x:t xml:space="preserve">技术证据默认折叠；更正回对应问题。</x:t>
  </x:si>
  <x:si>
    <x:t xml:space="preserve">frontend/src/pages/ConversationPlannerPage.tsx；RecommendationPage.tsx；待公网验收</x:t>
  </x:si>
  <x:si>
    <x:t xml:space="preserve">S2-T011</x:t>
  </x:si>
  <x:si>
    <x:t xml:space="preserve">PBI-10-A</x:t>
  </x:si>
  <x:si>
    <x:t xml:space="preserve">AC-10-A</x:t>
  </x:si>
  <x:si>
    <x:t xml:space="preserve">作为用户，我想上传照片时自动压缩并去除隐私信息，以便安全保存旅程。</x:t>
  </x:si>
  <x:si>
    <x:t xml:space="preserve">前端重编码压缩至 1.5MB 以下并移除 EXIF。</x:t>
  </x:si>
  <x:si>
    <x:t xml:space="preserve">浏览器 FileReader</x:t>
  </x:si>
  <x:si>
    <x:t xml:space="preserve">失败有可见提示，不阻断任务完成。</x:t>
  </x:si>
  <x:si>
    <x:t xml:space="preserve">frontend/src/components/TaskPhotoCard.tsx</x:t>
  </x:si>
  <x:si>
    <x:t xml:space="preserve">S2-T012</x:t>
  </x:si>
  <x:si>
    <x:t xml:space="preserve">作为用户，我想每站保存、替换或删除照片，以便回忆页只展示有效照片。</x:t>
  </x:si>
  <x:si>
    <x:t xml:space="preserve">照片上传、绑定任务、预览、替换、删除及每站 1 张/全程 8 张限制。</x:t>
  </x:si>
  <x:si>
    <x:t xml:space="preserve">张琪提供接口</x:t>
  </x:si>
  <x:si>
    <x:t xml:space="preserve">第 9 张被阻止；删除后执行页和回忆页消失。</x:t>
  </x:si>
  <x:si>
    <x:t xml:space="preserve">frontend/src/components/TaskPhotoCard.tsx；app/api/media_routes.py；待 8 张验收</x:t>
  </x:si>
  <x:si>
    <x:t xml:space="preserve">S2-T013</x:t>
  </x:si>
  <x:si>
    <x:t xml:space="preserve">PBI-09-A</x:t>
  </x:si>
  <x:si>
    <x:t xml:space="preserve">AC-09-A</x:t>
  </x:si>
  <x:si>
    <x:t xml:space="preserve">作为用户，我想主动定位一次确认到达，以便不被持续追踪。</x:t>
  </x:si>
  <x:si>
    <x:t xml:space="preserve">LocationEvidence/ArrivalEvidence 契约与幂等键。</x:t>
  </x:si>
  <x:si>
    <x:t xml:space="preserve">ExecutionEvent/Provider事实</x:t>
  </x:si>
  <x:si>
    <x:t xml:space="preserve">不包含 watchPosition 或持续定位状态。</x:t>
  </x:si>
  <x:si>
    <x:t xml:space="preserve">app/api/arrival_evidence_routes.py；backend/tests/test_s2_t013_arrival_evidence.py</x:t>
  </x:si>
  <x:si>
    <x:t xml:space="preserve">S2-T014</x:t>
  </x:si>
  <x:si>
    <x:t xml:space="preserve">作为用户，我想知道定位成功、过远、拒绝、超时或低精度时该怎么办。</x:t>
  </x:si>
  <x:si>
    <x:t xml:space="preserve">服务端距离计算与五类确定性到达判断。</x:t>
  </x:si>
  <x:si>
    <x:t xml:space="preserve">王敬博评审</x:t>
  </x:si>
  <x:si>
    <x:t xml:space="preserve">accuracy&lt;=100m 且 distance&lt;=max(150m,2*accuracy) 才自动到达。</x:t>
  </x:si>
  <x:si>
    <x:t xml:space="preserve">app/application/arrival_decision_service.py；backend/tests/test_s2_t014_arrival_decision.py</x:t>
  </x:si>
  <x:si>
    <x:t xml:space="preserve">S2-T015</x:t>
  </x:si>
  <x:si>
    <x:t xml:space="preserve">作为用户，我想在当前任务卡上一键定位并人工确认失败情况，以便继续旅程。</x:t>
  </x:si>
  <x:si>
    <x:t xml:space="preserve">一次定位前端 getCurrentPosition、结果展示、人工确认/取消。</x:t>
  </x:si>
  <x:si>
    <x:t xml:space="preserve">S2-T013,T014</x:t>
  </x:si>
  <x:si>
    <x:t xml:space="preserve">张琪提供 Fixture</x:t>
  </x:si>
  <x:si>
    <x:t xml:space="preserve">不调用 watchPosition；五状态可见。</x:t>
  </x:si>
  <x:si>
    <x:t xml:space="preserve">frontend/src/pages/WorkspacePage.tsx；待 375/768 录屏</x:t>
  </x:si>
  <x:si>
    <x:t xml:space="preserve">S2-T016</x:t>
  </x:si>
  <x:si>
    <x:t xml:space="preserve">作为用户，我希望到达证据刷新后仍恢复，以便不会重复完成任务。</x:t>
  </x:si>
  <x:si>
    <x:t xml:space="preserve">ArrivalEvidence 接入 ExecutionEvent，幂等保存与刷新恢复。</x:t>
  </x:si>
  <x:si>
    <x:t xml:space="preserve">S2-T005,T013,T014</x:t>
  </x:si>
  <x:si>
    <x:t xml:space="preserve">陈梓元评审</x:t>
  </x:si>
  <x:si>
    <x:t xml:space="preserve">重复提交不重复完成；刷新可恢复。</x:t>
  </x:si>
  <x:si>
    <x:t xml:space="preserve">app/api/arrival_execution_routes.py；backend/tests/test_s2_t016_arrival_execution_event.py</x:t>
  </x:si>
  <x:si>
    <x:t xml:space="preserve">S2-T017</x:t>
  </x:si>
  <x:si>
    <x:t xml:space="preserve">PBI-12-A</x:t>
  </x:si>
  <x:si>
    <x:t xml:space="preserve">AC-12-A</x:t>
  </x:si>
  <x:si>
    <x:t xml:space="preserve">作为用户，我想旅行结束后按实际顺序查看费用、关怀、变化和照片。</x:t>
  </x:si>
  <x:si>
    <x:t xml:space="preserve">MemoryTimeline 聚合接口。</x:t>
  </x:si>
  <x:si>
    <x:t xml:space="preserve">照片/事件/版本 Fixture</x:t>
  </x:si>
  <x:si>
    <x:t xml:space="preserve">乱序事件稳定排序；删除照片不返回；0 照片/无 V2 仍完整。</x:t>
  </x:si>
  <x:si>
    <x:t xml:space="preserve">app/api/memory_timeline_routes.py；backend/tests/test_s2_t017_memory_timeline.py</x:t>
  </x:si>
  <x:si>
    <x:t xml:space="preserve">S2-T018</x:t>
  </x:si>
  <x:si>
    <x:t xml:space="preserve">作为用户，我想在回忆页看到照片与路线变化，以便完整回顾旅程。</x:t>
  </x:si>
  <x:si>
    <x:t xml:space="preserve">旅行回忆前端，复用总结卡并嵌入 MemoryTimeline。</x:t>
  </x:si>
  <x:si>
    <x:t xml:space="preserve">S2-T012,T017,T022</x:t>
  </x:si>
  <x:si>
    <x:t xml:space="preserve">按实际顺序展示；移动端可读。</x:t>
  </x:si>
  <x:si>
    <x:t xml:space="preserve">frontend/src/components/MemoryPhotoStrip.tsx；WorkspacePage.tsx；待公网验收</x:t>
  </x:si>
  <x:si>
    <x:t xml:space="preserve">S2-T019</x:t>
  </x:si>
  <x:si>
    <x:t xml:space="preserve">PBI-11-B</x:t>
  </x:si>
  <x:si>
    <x:t xml:space="preserve">AC-11-B</x:t>
  </x:si>
  <x:si>
    <x:t xml:space="preserve">作为用户，我想说“迟到了/走不动了”就生成调整草稿。</x:t>
  </x:si>
  <x:si>
    <x:t xml:space="preserve">千问/规则解析 LATE/FATIGUE 事件草稿。</x:t>
  </x:si>
  <x:si>
    <x:t xml:space="preserve">千问调用基础</x:t>
  </x:si>
  <x:si>
    <x:t xml:space="preserve">只返回 eventType/taskId/lateMinutes/fatigueLevel/确认问题。</x:t>
  </x:si>
  <x:si>
    <x:t xml:space="preserve">app/api/execution_adjustment_routes.py；backend/tests/test_s2_t019_execution_event_draft.py</x:t>
  </x:si>
  <x:si>
    <x:t xml:space="preserve">S2-T020</x:t>
  </x:si>
  <x:si>
    <x:t xml:space="preserve">作为用户，我想临时事件只影响剩余行程，不改变长期关怀画像。</x:t>
  </x:si>
  <x:si>
    <x:t xml:space="preserve">LATE/FATIGUE 临时约束编译。</x:t>
  </x:si>
  <x:si>
    <x:t xml:space="preserve">只输出剩余行程 HARD 约束；不写 PlanVersion。</x:t>
  </x:si>
  <x:si>
    <x:t xml:space="preserve">app/services/execution_adjustments.py；backend/tests/test_s2_t020_event_constraint_compiler.py</x:t>
  </x:si>
  <x:si>
    <x:t xml:space="preserve">S2-T021</x:t>
  </x:si>
  <x:si>
    <x:t xml:space="preserve">作为用户，我想迟到/疲劳后先预览 V2 候选，以便接受前不覆盖原计划。</x:t>
  </x:si>
  <x:si>
    <x:t xml:space="preserve">候选 V2 后端生成：恢复 CURRENT、冻结前缀、重验预算/时间/路线/关怀。</x:t>
  </x:si>
  <x:si>
    <x:t xml:space="preserve">S2-T020,PlanVersion事实</x:t>
  </x:si>
  <x:si>
    <x:t xml:space="preserve">HARD 失败零 V2 写入；候选为 PROPOSED。</x:t>
  </x:si>
  <x:si>
    <x:t xml:space="preserve">app/application/planning_boundary_service.py；backend/tests/test_s2_t021_t022_execution_replan.py</x:t>
  </x:si>
  <x:si>
    <x:t xml:space="preserve">S2-T022</x:t>
  </x:si>
  <x:si>
    <x:t xml:space="preserve">作为组织者，我想接受或拒绝 V2，并看到结构化 Diff。</x:t>
  </x:si>
  <x:si>
    <x:t xml:space="preserve">结构化 Diff 与接受/拒绝决策。</x:t>
  </x:si>
  <x:si>
    <x:t xml:space="preserve">接受原子切换唯一 CURRENT；拒绝保留原计划。</x:t>
  </x:si>
  <x:si>
    <x:t xml:space="preserve">app/api/execution_replan_routes.py；backend/tests/test_s2_t021_t022_execution_replan.py</x:t>
  </x:si>
  <x:si>
    <x:t xml:space="preserve">S2-T023</x:t>
  </x:si>
  <x:si>
    <x:t xml:space="preserve">作为用户，我想在页面上触发迟到/疲劳并看到 V2 差异后再决策。</x:t>
  </x:si>
  <x:si>
    <x:t xml:space="preserve">执行页 LATE/FATIGUE 前端入口、确认表单、V2 Diff、接受/拒绝。</x:t>
  </x:si>
  <x:si>
    <x:t xml:space="preserve">S2-T019~T022</x:t>
  </x:si>
  <x:si>
    <x:t xml:space="preserve">林粲涵提供 Fixture</x:t>
  </x:si>
  <x:si>
    <x:t xml:space="preserve">候选接受前不覆盖 CURRENT；解释失败仍显示结构化 Diff。</x:t>
  </x:si>
  <x:si>
    <x:t xml:space="preserve">frontend/src/pages/WorkspacePage.tsx；frontend/src/services/executionReplan.ts；待公网验收</x:t>
  </x:si>
  <x:si>
    <x:t xml:space="preserve">S2-T024</x:t>
  </x:si>
  <x:si>
    <x:t xml:space="preserve">PBI-13-A</x:t>
  </x:si>
  <x:si>
    <x:t xml:space="preserve">AC-13-A</x:t>
  </x:si>
  <x:si>
    <x:t xml:space="preserve">作为老师，我想在 375/768 和公网环境验收完整旅程。</x:t>
  </x:si>
  <x:si>
    <x:t xml:space="preserve">最小黄金路径与响应式/公网验收。</x:t>
  </x:si>
  <x:si>
    <x:t xml:space="preserve">Day3</x:t>
  </x:si>
  <x:si>
    <x:t xml:space="preserve">S2-T001~T023</x:t>
  </x:si>
  <x:si>
    <x:t xml:space="preserve">全员参与</x:t>
  </x:si>
  <x:si>
    <x:t xml:space="preserve">375/768 不遮挡；公网完成六问、推荐、执行、照片、V2、回忆。</x:t>
  </x:si>
  <x:si>
    <x:t xml:space="preserve">待 UAT 录屏与公网链接</x:t>
  </x:si>
  <x:si>
    <x:t xml:space="preserve">S2-T025</x:t>
  </x:si>
  <x:si>
    <x:t xml:space="preserve">PBI-14-A</x:t>
  </x:si>
  <x:si>
    <x:t xml:space="preserve">AC-14-A</x:t>
  </x:si>
  <x:si>
    <x:t xml:space="preserve">作为组织者，我想用固定六问创建行程，而不是并排手工表单，以便按对话一步步收集完整需求。</x:t>
  </x:si>
  <x:si>
    <x:t xml:space="preserve">纯六问前端对话壳：只显示当前问题、进度、上一步/下一步、汇总确认；全部回答后才调用一次解析。</x:t>
  </x:si>
  <x:si>
    <x:t xml:space="preserve">保留现有 TripDraft 接口</x:t>
  </x:si>
  <x:si>
    <x:t xml:space="preserve">陈梓元提供契约</x:t>
  </x:si>
  <x:si>
    <x:t xml:space="preserve">6 个 questionId 顺序固定；提交前百炼/千问调用 0；更正回对应问题后重新解析。</x:t>
  </x:si>
  <x:si>
    <x:t xml:space="preserve">frontend/src/pages/ConversationPlannerPage.tsx；待调用计数录屏</x:t>
  </x:si>
  <x:si>
    <x:t xml:space="preserve">S2-T026</x:t>
  </x:si>
  <x:si>
    <x:t xml:space="preserve">AC-14-B</x:t>
  </x:si>
  <x:si>
    <x:t xml:space="preserve">作为组织者，我想创建 Trip 后分享一次性邀请链接，以便成员独立填写资料。</x:t>
  </x:si>
  <x:si>
    <x:t xml:space="preserve">组织者创建 Trip、生成邀请链接、复制分享、显示成员确认进度 UI。</x:t>
  </x:si>
  <x:si>
    <x:t xml:space="preserve">S2-T025；协作接口</x:t>
  </x:si>
  <x:si>
    <x:t xml:space="preserve">林粲涵提供安全接口</x:t>
  </x:si>
  <x:si>
    <x:t xml:space="preserve">每名成员一个链接；链接只展示对应 participantId；成员确认后组织者进度刷新。</x:t>
  </x:si>
  <x:si>
    <x:t xml:space="preserve">frontend/src/pages/ConversationPlannerPage.tsx；待两成员录屏</x:t>
  </x:si>
  <x:si>
    <x:t xml:space="preserve">S2-T027</x:t>
  </x:si>
  <x:si>
    <x:t xml:space="preserve">AC-14-C</x:t>
  </x:si>
  <x:si>
    <x:t xml:space="preserve">作为受邀成员，我想在自己的会话里填写并确认资料，以便不会改到别人信息。</x:t>
  </x:si>
  <x:si>
    <x:t xml:space="preserve">成员独立填写/确认 UI 与会话隔离提示，复用六问。</x:t>
  </x:si>
  <x:si>
    <x:t xml:space="preserve">成员只能访问自己 participantId；确认后链接失效；错误提示可见。</x:t>
  </x:si>
  <x:si>
    <x:t xml:space="preserve">frontend/src/pages/MemberConversationPage.tsx；待公网多浏览器验收</x:t>
  </x:si>
  <x:si>
    <x:t xml:space="preserve">S2-T028</x:t>
  </x:si>
  <x:si>
    <x:t xml:space="preserve">PBI-15-A</x:t>
  </x:si>
  <x:si>
    <x:t xml:space="preserve">AC-15-A</x:t>
  </x:si>
  <x:si>
    <x:t xml:space="preserve">作为系统，我必须在全员确认且硬冲突解决前阻止推荐和规划，以免浪费 Provider/模型调用。</x:t>
  </x:si>
  <x:si>
    <x:t xml:space="preserve">Provider/推荐/规划零调用门禁实现与计数验证：协作状态非 READY_TO_PLAN 一律拒绝。</x:t>
  </x:si>
  <x:si>
    <x:t xml:space="preserve">S2-T003,S2-T026</x:t>
  </x:si>
  <x:si>
    <x:t xml:space="preserve">DRAFT/INVITING/COLLECTING/CONFLICT_REVIEW 下 Provider、推荐、规划调用次数为 0。</x:t>
  </x:si>
  <x:si>
    <x:t xml:space="preserve">app/api/recommendation_routes.py；app/api/plan_routes.py；待调用计数测试</x:t>
  </x:si>
  <x:si>
    <x:t xml:space="preserve">S2-T029</x:t>
  </x:si>
  <x:si>
    <x:t xml:space="preserve">AC-15-B</x:t>
  </x:si>
  <x:si>
    <x:t xml:space="preserve">作为用户，我想硬冲突说明能点名成员和规则，以便知道该放宽什么。</x:t>
  </x:si>
  <x:si>
    <x:t xml:space="preserve">多人硬冲突输出强化：participantId、ruleId、原因、allowedRelaxations，并联动组织者处理。</x:t>
  </x:si>
  <x:si>
    <x:t xml:space="preserve">冲突未解决时 READY_TO_PLAN 不成立；放宽后状态可迁移。</x:t>
  </x:si>
  <x:si>
    <x:t xml:space="preserve">S2-T030</x:t>
  </x:si>
  <x:si>
    <x:t xml:space="preserve">PBI-16-A</x:t>
  </x:si>
  <x:si>
    <x:t xml:space="preserve">AC-16-A</x:t>
  </x:si>
  <x:si>
    <x:t xml:space="preserve">作为用户，我想推荐候选都来自高德或缓存事实，以便地点真实可信。</x:t>
  </x:si>
  <x:si>
    <x:t xml:space="preserve">服务端基于多人 Trip 与高德/缓存事实签发 6-8 个 FactRef 候选并做硬约束预过滤。</x:t>
  </x:si>
  <x:si>
    <x:t xml:space="preserve">S2-T006,S2-T028</x:t>
  </x:si>
  <x:si>
    <x:t xml:space="preserve">候选含 factSetId/digest/provenance；无效 digest 零规划写入。</x:t>
  </x:si>
  <x:si>
    <x:t xml:space="preserve">app/application/recommendation_service.py；待真实高德缓存验收</x:t>
  </x:si>
  <x:si>
    <x:t xml:space="preserve">S2-T031</x:t>
  </x:si>
  <x:si>
    <x:t xml:space="preserve">AC-16-B</x:t>
  </x:si>
  <x:si>
    <x:t xml:space="preserve">作为系统，我只允许 LLM 返回白名单地点 ID 和短理由，以便价格、路线和状态仍由后端决定。</x:t>
  </x:si>
  <x:si>
    <x:t xml:space="preserve">LLM JSON 契约更新：禁止价格、路线、满意度、PASS、计划状态、PlanVersion；失败确定性回退。</x:t>
  </x:si>
  <x:si>
    <x:t xml:space="preserve">越界/重复 ID、额外字段、非 JSON、超时或错误不修复重试。</x:t>
  </x:si>
  <x:si>
    <x:t xml:space="preserve">app/domain/recommendation.py；backend/tests/test_s2_t009_recommendation_orchestration.py</x:t>
  </x:si>
  <x:si>
    <x:t xml:space="preserve">S2-T032</x:t>
  </x:si>
  <x:si>
    <x:t xml:space="preserve">PBI-17-A</x:t>
  </x:si>
  <x:si>
    <x:t xml:space="preserve">AC-17-A</x:t>
  </x:si>
  <x:si>
    <x:t xml:space="preserve">作为老师，我想看到完整多人旅程验收任务，以便确认新增范围不是散点功能。</x:t>
  </x:si>
  <x:si>
    <x:t xml:space="preserve">命名端到端验收：E2E-S2-新增需求-多人六问到回忆闭环。</x:t>
  </x:si>
  <x:si>
    <x:t xml:space="preserve">S2-T025~T031,T012,T023</x:t>
  </x:si>
  <x:si>
    <x:t xml:space="preserve">全员配合</x:t>
  </x:si>
  <x:si>
    <x:t xml:space="preserve">公网环境：组织者+两成员、冲突处理、唯一推荐、执行、照片、V2、回忆、375/768。</x:t>
  </x:si>
  <x:si>
    <x:t xml:space="preserve">待 UAT 编号 UAT-S2-E2E-001</x:t>
  </x:si>
  <x:si>
    <x:t xml:space="preserve">Sprint 2 新增需求修订版 · 燃尽与容量</x:t>
  </x:si>
  <x:si>
    <x:t xml:space="preserve">Sprint 1 · 容量、燃尽与 Review 门禁</x:t>
  </x:si>
  <x:si>
    <x:t xml:space="preserve">Sprint Goal：第一次 Review 就能展示关怀单人完整 Agent</x:t>
  </x:si>
  <x:si>
    <x:t xml:space="preserve">指标</x:t>
  </x:si>
  <x:si>
    <x:t xml:space="preserve">值</x:t>
  </x:si>
  <x:si>
    <x:t xml:space="preserve">实际剩余工时列初始化为计划基线，Sprint 执行后由每日站会更新黄色输入格；所有汇总、偏差、完成率与图表均由公式回算。</x:t>
  </x:si>
  <x:si>
    <x:t xml:space="preserve">修订总任务数</x:t>
  </x:si>
  <x:si>
    <x:t xml:space="preserve">切换为“执行中”后，每日更新 SprintBacklog模板 的 Day1/Day2/Day3 实际剩余工时；Day3 仅关键缺陷修复可占用临时缓冲，不新增常规开发承诺。</x:t>
  </x:si>
  <x:si>
    <x:t xml:space="preserve">原计划工时</x:t>
  </x:si>
  <x:si>
    <x:t xml:space="preserve">新增工时</x:t>
  </x:si>
  <x:si>
    <x:t xml:space="preserve">修订总工时</x:t>
  </x:si>
  <x:si>
    <x:t xml:space="preserve">已完成/基本完成估算</x:t>
  </x:si>
  <x:si>
    <x:t xml:space="preserve">当前剩余工时</x:t>
  </x:si>
  <x:si>
    <x:t xml:space="preserve">PBI 数</x:t>
  </x:si>
  <x:si>
    <x:t xml:space="preserve">任务数</x:t>
  </x:si>
  <x:si>
    <x:t xml:space="preserve">剩余工时</x:t>
  </x:si>
  <x:si>
    <x:t xml:space="preserve">旧剩余</x:t>
  </x:si>
  <x:si>
    <x:t xml:space="preserve">新增剩余</x:t>
  </x:si>
  <x:si>
    <x:t xml:space="preserve">Day1容量</x:t>
  </x:si>
  <x:si>
    <x:t xml:space="preserve">Day2容量</x:t>
  </x:si>
  <x:si>
    <x:t xml:space="preserve">兼任职责</x:t>
  </x:si>
  <x:si>
    <x:t xml:space="preserve">主责方向（非技术壁垒）</x:t>
  </x:si>
  <x:si>
    <x:t xml:space="preserve">PO（兼任）</x:t>
  </x:si>
  <x:si>
    <x:t xml:space="preserve">多人模型、硬冲突、统一执行版本；同样承担联调与自测</x:t>
  </x:si>
  <x:si>
    <x:t xml:space="preserve">SM（兼任）</x:t>
  </x:si>
  <x:si>
    <x:t xml:space="preserve">公平推荐与任务照片；同样承担接口联调与自测</x:t>
  </x:si>
  <x:si>
    <x:t xml:space="preserve">QA（兼任）</x:t>
  </x:si>
  <x:si>
    <x:t xml:space="preserve">一次性 GPS 与旅行回忆；同样承担接口联调与自测</x:t>
  </x:si>
  <x:si>
    <x:t xml:space="preserve">迟到/疲劳重规划与移动端适配；同样承担全链验收</x:t>
  </x:si>
  <x:si>
    <x:t xml:space="preserve">四人均为开发者</x:t>
  </x:si>
  <x:si>
    <x:t xml:space="preserve">主责表示首要推进责任，不限制协作</x:t>
  </x:si>
  <x:si>
    <x:t xml:space="preserve">日期</x:t>
  </x:si>
  <x:si>
    <x:t xml:space="preserve">计划剩余</x:t>
  </x:si>
  <x:si>
    <x:t xml:space="preserve">实际剩余</x:t>
  </x:si>
  <x:si>
    <x:t xml:space="preserve">Sprint开始</x:t>
  </x:si>
  <x:si>
    <x:t xml:space="preserve">Day1结束</x:t>
  </x:si>
  <x:si>
    <x:t xml:space="preserve">Day2结束</x:t>
  </x:si>
  <x:si>
    <x:t xml:space="preserve">Day3验收</x:t>
  </x:si>
  <x:si>
    <x:t xml:space="preserve">协作与评审规则：四人均承担开发任务；主责字段只表示首要推进责任。可协作人按当前任务列示但不构成固定搭档。每个 PR 在实际提交时从非作者成员中，依据 Schema/金额/状态机/关怀安全/交互/部署等风险和当次可用性临时指定评审人。</x:t>
  </x:si>
  <x:si>
    <x:t xml:space="preserve">Sprint 2 PBI 追溯（新增需求修订）</x:t>
  </x:si>
  <x:si>
    <x:t xml:space="preserve">主题</x:t>
  </x:si>
  <x:si>
    <x:t xml:space="preserve">覆盖 Task</x:t>
  </x:si>
  <x:si>
    <x:t xml:space="preserve">用户故事</x:t>
  </x:si>
  <x:si>
    <x:t xml:space="preserve">SP</x:t>
  </x:si>
  <x:si>
    <x:t xml:space="preserve">完成/基本完成数</x:t>
  </x:si>
  <x:si>
    <x:t xml:space="preserve">覆盖判断</x:t>
  </x:si>
  <x:si>
    <x:t xml:space="preserve">证据</x:t>
  </x:si>
  <x:si>
    <x:t xml:space="preserve">多人需求理解与确认</x:t>
  </x:si>
  <x:si>
    <x:t xml:space="preserve">S2-T001~T005</x:t>
  </x:si>
  <x:si>
    <x:t xml:space="preserve">作为组织者/成员，我想确认多人需求与冲突。</x:t>
  </x:si>
  <x:si>
    <x:t xml:space="preserve">唯一公平推荐</x:t>
  </x:si>
  <x:si>
    <x:t xml:space="preserve">S2-T006~T010</x:t>
  </x:si>
  <x:si>
    <x:t xml:space="preserve">作为用户，我想得到真实事实支撑的一条公平方案。</x:t>
  </x:si>
  <x:si>
    <x:t xml:space="preserve">GPS 到达确认</x:t>
  </x:si>
  <x:si>
    <x:t xml:space="preserve">S2-T013~T016</x:t>
  </x:si>
  <x:si>
    <x:t xml:space="preserve">作为用户，我想主动定位一次并可手动确认。</x:t>
  </x:si>
  <x:si>
    <x:t xml:space="preserve">照片记录</x:t>
  </x:si>
  <x:si>
    <x:t xml:space="preserve">S2-T011~T012</x:t>
  </x:si>
  <x:si>
    <x:t xml:space="preserve">作为用户，我想每站保存照片且不影响继续旅行。</x:t>
  </x:si>
  <x:si>
    <x:t xml:space="preserve">统一执行状态</x:t>
  </x:si>
  <x:si>
    <x:t xml:space="preserve">作为用户，我想 1/2/3 人执行流程一致。</x:t>
  </x:si>
  <x:si>
    <x:t xml:space="preserve">迟到/疲劳 V2</x:t>
  </x:si>
  <x:si>
    <x:t xml:space="preserve">S2-T019~T023</x:t>
  </x:si>
  <x:si>
    <x:t xml:space="preserve">作为用户，我想临时调整先预览再接受。</x:t>
  </x:si>
  <x:si>
    <x:t xml:space="preserve">回忆页</x:t>
  </x:si>
  <x:si>
    <x:t xml:space="preserve">S2-T017~T018</x:t>
  </x:si>
  <x:si>
    <x:t xml:space="preserve">作为用户，我想旅行结束后看完整回忆。</x:t>
  </x:si>
  <x:si>
    <x:t xml:space="preserve">响应式与公网验收</x:t>
  </x:si>
  <x:si>
    <x:t xml:space="preserve">作为老师，我想在真实环境验收。</x:t>
  </x:si>
  <x:si>
    <x:t xml:space="preserve">固定六问与独立邀请</x:t>
  </x:si>
  <x:si>
    <x:t xml:space="preserve">S2-T025~T027</x:t>
  </x:si>
  <x:si>
    <x:t xml:space="preserve">作为组织者/成员，我想用六问和链接协作填写。</x:t>
  </x:si>
  <x:si>
    <x:t xml:space="preserve">全员确认与硬冲突门禁</x:t>
  </x:si>
  <x:si>
    <x:t xml:space="preserve">S2-T028~T029</x:t>
  </x:si>
  <x:si>
    <x:t xml:space="preserve">作为系统，我必须在 READY_TO_PLAN 前零推荐/规划调用。</x:t>
  </x:si>
  <x:si>
    <x:t xml:space="preserve">FactRef 白名单候选</x:t>
  </x:si>
  <x:si>
    <x:t xml:space="preserve">S2-T030~T031</x:t>
  </x:si>
  <x:si>
    <x:t xml:space="preserve">作为用户，我想候选来自高德/缓存可信事实。</x:t>
  </x:si>
  <x:si>
    <x:t xml:space="preserve">新增范围端到端验收</x:t>
  </x:si>
  <x:si>
    <x:t xml:space="preserve">作为老师，我想看到新增需求完整闭环。</x:t>
  </x:si>
  <x:si>
    <x:t xml:space="preserve">LLM 接入设计：新增需求边界</x:t>
  </x:si>
  <x:si>
    <x:t xml:space="preserve">场景</x:t>
  </x:si>
  <x:si>
    <x:t xml:space="preserve">入口</x:t>
  </x:si>
  <x:si>
    <x:t xml:space="preserve">调用时机</x:t>
  </x:si>
  <x:si>
    <x:t xml:space="preserve">允许输入</x:t>
  </x:si>
  <x:si>
    <x:t xml:space="preserve">允许输出</x:t>
  </x:si>
  <x:si>
    <x:t xml:space="preserve">禁止输出/行为</x:t>
  </x:si>
  <x:si>
    <x:t xml:space="preserve">超时/失败</x:t>
  </x:si>
  <x:si>
    <x:t xml:space="preserve">确定性后端责任</x:t>
  </x:si>
  <x:si>
    <x:t xml:space="preserve">Provider 责任</x:t>
  </x:si>
  <x:si>
    <x:t xml:space="preserve">前端责任</x:t>
  </x:si>
  <x:si>
    <x:t xml:space="preserve">固定六问解析</x:t>
  </x:si>
  <x:si>
    <x:t xml:space="preserve">/api/v2/trips/conversations；/participant-invitations/{token}/conversation</x:t>
  </x:si>
  <x:si>
    <x:t xml:space="preserve">六问全部回答后一次调用；更正后按对应问题重新解析</x:t>
  </x:si>
  <x:si>
    <x:t xml:space="preserve">六问 transcript、原始描述、已有共享信息</x:t>
  </x:si>
  <x:si>
    <x:t xml:space="preserve">字段草稿、缺项、歧义、确认项</x:t>
  </x:si>
  <x:si>
    <x:t xml:space="preserve">participantId 生成、确认状态、PASS、PlanVersion、价格/路线</x:t>
  </x:si>
  <x:si>
    <x:t xml:space="preserve">超时/非 JSON/Schema 错误：规则/表单降级</x:t>
  </x:si>
  <x:si>
    <x:t xml:space="preserve">Trip/Constraint/冲突/状态迁移</x:t>
  </x:si>
  <x:si>
    <x:t xml:space="preserve">无</x:t>
  </x:si>
  <x:si>
    <x:t xml:space="preserve">收集、展示、确认</x:t>
  </x:si>
  <x:si>
    <x:t xml:space="preserve">ConversationPlannerPage；MemberConversationPage</x:t>
  </x:si>
  <x:si>
    <x:t xml:space="preserve">LATE/FATIGUE 解释</x:t>
  </x:si>
  <x:si>
    <x:t xml:space="preserve">/api/v1/execution-adjustments/parse</x:t>
  </x:si>
  <x:si>
    <x:t xml:space="preserve">用户输入临时事件文本后</x:t>
  </x:si>
  <x:si>
    <x:t xml:space="preserve">rawText/taskId/currentTask</x:t>
  </x:si>
  <x:si>
    <x:t xml:space="preserve">eventType/taskId/lateMinutes/fatigueLevel/确认问题</x:t>
  </x:si>
  <x:si>
    <x:t xml:space="preserve">长期关怀、Constraint、PlanVersion、状态</x:t>
  </x:si>
  <x:si>
    <x:t xml:space="preserve">10 秒硬上限；失败固定表单</x:t>
  </x:si>
  <x:si>
    <x:t xml:space="preserve">临时约束编译与 V2 生成</x:t>
  </x:si>
  <x:si>
    <x:t xml:space="preserve">展示草稿与确认</x:t>
  </x:si>
  <x:si>
    <x:t xml:space="preserve">backend/tests/test_s2_t019_execution_event_draft.py</x:t>
  </x:si>
  <x:si>
    <x:t xml:space="preserve">FactRef 候选排序</x:t>
  </x:si>
  <x:si>
    <x:t xml:space="preserve">/api/v1/trips/{tripId}/recommendations</x:t>
  </x:si>
  <x:si>
    <x:t xml:space="preserve">READY_TO_PLAN 后，服务端已签发 6-8 个 FactRef 后</x:t>
  </x:si>
  <x:si>
    <x:t xml:space="preserve">白名单地点 ID、服务端摘要、确认后的多人摘要</x:t>
  </x:si>
  <x:si>
    <x:t xml:space="preserve">白名单地点 ID、顺序、短理由、风险提示</x:t>
  </x:si>
  <x:si>
    <x:t xml:space="preserve">价格、路线、满意度、PASS、计划状态、PlanVersion、额外字段</x:t>
  </x:si>
  <x:si>
    <x:t xml:space="preserve">非 JSON/越界/重复/超时/错误：不修复重试，确定性回退</x:t>
  </x:si>
  <x:si>
    <x:t xml:space="preserve">硬约束、评分、排序、唯一方案</x:t>
  </x:si>
  <x:si>
    <x:t xml:space="preserve">地点/路线/价格/设施事实</x:t>
  </x:si>
  <x:si>
    <x:t xml:space="preserve">展示唯一方案</x:t>
  </x:si>
  <x:si>
    <x:t xml:space="preserve">backend/tests/test_s2_t009_recommendation_orchestration.py</x:t>
  </x:si>
  <x:si>
    <x:t xml:space="preserve">V2 Diff 文案</x:t>
  </x:si>
  <x:si>
    <x:t xml:space="preserve">replan explanation gateway</x:t>
  </x:si>
  <x:si>
    <x:t xml:space="preserve">服务端已生成结构化 Diff 后可选调用</x:t>
  </x:si>
  <x:si>
    <x:t xml:space="preserve">不可变 Diff 投影</x:t>
  </x:si>
  <x:si>
    <x:t xml:space="preserve">短解释摘要</x:t>
  </x:si>
  <x:si>
    <x:t xml:space="preserve">修改任务、价格、状态、PASS</x:t>
  </x:si>
  <x:si>
    <x:t xml:space="preserve">失败仅 explanation=UNAVAILABLE</x:t>
  </x:si>
  <x:si>
    <x:t xml:space="preserve">Diff/接受/拒绝原子状态机</x:t>
  </x:si>
  <x:si>
    <x:t xml:space="preserve">展示结构化 Diff</x:t>
  </x:si>
  <x:si>
    <x:t xml:space="preserve">backend/tests/test_bailian_replan_explanation.py</x:t>
  </x:si>
  <x:si>
    <x:t xml:space="preserve">门禁</x:t>
  </x:si>
  <x:si>
    <x:t xml:space="preserve">协作状态机</x:t>
  </x:si>
  <x:si>
    <x:t xml:space="preserve">DRAFT/INVITING/COLLECTING/CONFLICT_REVIEW</x:t>
  </x:si>
  <x:si>
    <x:t xml:space="preserve">无模型调用</x:t>
  </x:si>
  <x:si>
    <x:t xml:space="preserve">任何 Provider/推荐/规划调用</x:t>
  </x:si>
  <x:si>
    <x:t xml:space="preserve">直接 409，计数 0</x:t>
  </x:si>
  <x:si>
    <x:t xml:space="preserve">READY_TO_PLAN 判定</x:t>
  </x:si>
  <x:si>
    <x:t xml:space="preserve">READY 后才查询高德</x:t>
  </x:si>
  <x:si>
    <x:t xml:space="preserve">显示等待/冲突</x:t>
  </x:si>
  <x:si>
    <x:t xml:space="preserve">app/infrastructure/collaboration_store.py</x:t>
  </x:si>
  <x:si>
    <x:t xml:space="preserve">安全总结</x:t>
  </x:si>
  <x:si>
    <x:t xml:space="preserve">全链路</x:t>
  </x:si>
  <x:si>
    <x:t xml:space="preserve">所有阶段</x:t>
  </x:si>
  <x:si>
    <x:t xml:space="preserve">最小必要事实</x:t>
  </x:si>
  <x:si>
    <x:t xml:space="preserve">可解释但不裁决</x:t>
  </x:si>
  <x:si>
    <x:t xml:space="preserve">AI 不写事实、不写状态</x:t>
  </x:si>
  <x:si>
    <x:t xml:space="preserve">失败可见且可继续</x:t>
  </x:si>
  <x:si>
    <x:t xml:space="preserve">后端确定性裁决</x:t>
  </x:si>
  <x:si>
    <x:t xml:space="preserve">高德只供事实</x:t>
  </x:si>
  <x:si>
    <x:t xml:space="preserve">前端只收集/展示/确认</x:t>
  </x:si>
  <x:si>
    <x:t xml:space="preserve">UAT-S2-E2E-001</x:t>
  </x:si>
  <x:si>
    <x:t xml:space="preserve">人工确认项</x:t>
  </x:si>
  <x:si>
    <x:t xml:space="preserve">公网验收</x:t>
  </x:si>
  <x:si>
    <x:t xml:space="preserve">老师验收时</x:t>
  </x:si>
  <x:si>
    <x:t xml:space="preserve">真实 Key 与真实浏览器</x:t>
  </x:si>
  <x:si>
    <x:t xml:space="preserve">录屏/截图编号</x:t>
  </x:si>
  <x:si>
    <x:t xml:space="preserve">伪造已完成</x:t>
  </x:si>
  <x:si>
    <x:t xml:space="preserve">未通过则保持进行中</x:t>
  </x:si>
  <x:si>
    <x:t xml:space="preserve">验收签字</x:t>
  </x:si>
  <x:si>
    <x:t xml:space="preserve">真实调用日志</x:t>
  </x:si>
  <x:si>
    <x:t xml:space="preserve">375/768 页面</x:t>
  </x:si>
  <x:si>
    <x:t xml:space="preserve">验收清单</x:t>
  </x:si>
  <x:si>
    <x:t xml:space="preserve">LLM JSON 契约：白名单候选与六问解析</x:t>
  </x:si>
  <x:si>
    <x:t xml:space="preserve">契约</x:t>
  </x:si>
  <x:si>
    <x:t xml:space="preserve">schemaVersion</x:t>
  </x:si>
  <x:si>
    <x:t xml:space="preserve">字段</x:t>
  </x:si>
  <x:si>
    <x:t xml:space="preserve">类型/范围</x:t>
  </x:si>
  <x:si>
    <x:t xml:space="preserve">示例</x:t>
  </x:si>
  <x:si>
    <x:t xml:space="preserve">额外字段</x:t>
  </x:si>
  <x:si>
    <x:t xml:space="preserve">失败处理</x:t>
  </x:si>
  <x:si>
    <x:t xml:space="preserve">不得包含</x:t>
  </x:si>
  <x:si>
    <x:t xml:space="preserve">状态写入</x:t>
  </x:si>
  <x:si>
    <x:t xml:space="preserve">责任归属</x:t>
  </x:si>
  <x:si>
    <x:t xml:space="preserve">测试证据</x:t>
  </x:si>
  <x:si>
    <x:t xml:space="preserve">六问解析</x:t>
  </x:si>
  <x:si>
    <x:t xml:space="preserve">1.0</x:t>
  </x:si>
  <x:si>
    <x:t xml:space="preserve">parsed/confirmationItems/canPlan</x:t>
  </x:si>
  <x:si>
    <x:t xml:space="preserve">固定字段；extra=forbid</x:t>
  </x:si>
  <x:si>
    <x:t xml:space="preserve">cityName/travelDate/startTime/endTime/budgetCents</x:t>
  </x:si>
  <x:si>
    <x:t xml:space="preserve">拒绝</x:t>
  </x:si>
  <x:si>
    <x:t xml:space="preserve">规则降级并显示确认项</x:t>
  </x:si>
  <x:si>
    <x:t xml:space="preserve">participantId、状态、PlanVersion</x:t>
  </x:si>
  <x:si>
    <x:t xml:space="preserve">千问只提取</x:t>
  </x:si>
  <x:si>
    <x:t xml:space="preserve">test_trip_draft_llm_integration.py</x:t>
  </x:si>
  <x:si>
    <x:t xml:space="preserve">候选排序</x:t>
  </x:si>
  <x:si>
    <x:t xml:space="preserve">selectedPlaceFactIds/selectionRationale/riskNotes</x:t>
  </x:si>
  <x:si>
    <x:t xml:space="preserve">ID 必须来自候选 FactRef；理由短文本</x:t>
  </x:si>
  <x:si>
    <x:t xml:space="preserve">["fact-1","fact-2","fact-3"]</x:t>
  </x:si>
  <x:si>
    <x:t xml:space="preserve">确定性枚举回退</x:t>
  </x:si>
  <x:si>
    <x:t xml:space="preserve">price、route、score、PASS、planVersion</x:t>
  </x:si>
  <x:si>
    <x:t xml:space="preserve">千问只排序解释</x:t>
  </x:si>
  <x:si>
    <x:t xml:space="preserve">test_s2_t009_recommendation_orchestration.py</x:t>
  </x:si>
  <x:si>
    <x:t xml:space="preserve">LATE/FATIGUE</x:t>
  </x:si>
  <x:si>
    <x:t xml:space="preserve">eventType/taskId/lateMinutes/fatigueLevel</x:t>
  </x:si>
  <x:si>
    <x:t xml:space="preserve">eventType 仅 LATE/FATIGUE/null</x:t>
  </x:si>
  <x:si>
    <x:t xml:space="preserve">LATE + 20 分钟</x:t>
  </x:si>
  <x:si>
    <x:t xml:space="preserve">固定表单</x:t>
  </x:si>
  <x:si>
    <x:t xml:space="preserve">Constraint、Profile、PlanVersion</x:t>
  </x:si>
  <x:si>
    <x:t xml:space="preserve">test_s2_t019_execution_event_draft.py</x:t>
  </x:si>
  <x:si>
    <x:t xml:space="preserve">Diff 解释</x:t>
  </x:si>
  <x:si>
    <x:t xml:space="preserve">summary/status/model/degradedReason</x:t>
  </x:si>
  <x:si>
    <x:t xml:space="preserve">可选展示字段</x:t>
  </x:si>
  <x:si>
    <x:t xml:space="preserve">UNAVAILABLE 时 summary=null</x:t>
  </x:si>
  <x:si>
    <x:t xml:space="preserve">保留结构化 Diff</x:t>
  </x:si>
  <x:si>
    <x:t xml:space="preserve">价格/路线/状态变更</x:t>
  </x:si>
  <x:si>
    <x:t xml:space="preserve">千问只解释</x:t>
  </x:si>
  <x:si>
    <x:t xml:space="preserve">test_bailian_replan_explanation.py</x:t>
  </x:si>
  <x:si>
    <x:t xml:space="preserve">Provider 事实</x:t>
  </x:si>
  <x:si>
    <x:t xml:space="preserve">不适用</x:t>
  </x:si>
  <x:si>
    <x:t xml:space="preserve">FactRef/place/route/price/provenance</x:t>
  </x:si>
  <x:si>
    <x:t xml:space="preserve">服务端签发</x:t>
  </x:si>
  <x:si>
    <x:t xml:space="preserve">AMAP:placeId + digest</x:t>
  </x:si>
  <x:si>
    <x:t xml:space="preserve">客户端不得提交</x:t>
  </x:si>
  <x:si>
    <x:t xml:space="preserve">无效 digest 零写入</x:t>
  </x:si>
  <x:si>
    <x:t xml:space="preserve">模型生成事实</x:t>
  </x:si>
  <x:si>
    <x:t xml:space="preserve">后端签发</x:t>
  </x:si>
  <x:si>
    <x:t xml:space="preserve">高德/缓存供事实</x:t>
  </x:si>
  <x:si>
    <x:t xml:space="preserve">test_s2_recommendation_boundary.py</x:t>
  </x:si>
  <x:si>
    <x:t xml:space="preserve">状态机</x:t>
  </x:si>
  <x:si>
    <x:t xml:space="preserve">DRAFT_CONVERSATION→INVITING→COLLECTING_MEMBERS→CONFLICT_REVIEW→READY_TO_PLAN</x:t>
  </x:si>
  <x:si>
    <x:t xml:space="preserve">后端枚举</x:t>
  </x:si>
  <x:si>
    <x:t xml:space="preserve">READY_TO_PLAN</x:t>
  </x:si>
  <x:si>
    <x:t xml:space="preserve">前端不得改</x:t>
  </x:si>
  <x:si>
    <x:t xml:space="preserve">409/可见提示</x:t>
  </x:si>
  <x:si>
    <x:t xml:space="preserve">LLM/PASS</x:t>
  </x:si>
  <x:si>
    <x:t xml:space="preserve">后端迁移</x:t>
  </x:si>
  <x:si>
    <x:t xml:space="preserve">确定性模块</x:t>
  </x:si>
  <x:si>
    <x:t xml:space="preserve">test_collaboration_store.py</x:t>
  </x:si>
  <x:si>
    <x:t xml:space="preserve">全局禁令</x:t>
  </x:si>
  <x:si>
    <x:t xml:space="preserve">所有 LLM 响应</x:t>
  </x:si>
  <x:si>
    <x:t xml:space="preserve">strict JSON</x:t>
  </x:si>
  <x:si>
    <x:t xml:space="preserve">无 markdown 包裹</x:t>
  </x:si>
  <x:si>
    <x:t xml:space="preserve">不修复重试</x:t>
  </x:si>
  <x:si>
    <x:t xml:space="preserve">价格、路线、满意度、PASS、计划状态、PlanVersion</x:t>
  </x:si>
  <x:si>
    <x:t xml:space="preserve">后端校验</x:t>
  </x:si>
  <x:si>
    <x:t xml:space="preserve">错误扫描 + UAT</x:t>
  </x:si>
  <x:si>
    <x:t xml:space="preserve">行知旅伴 Sprint 2 · 用户功能验收清单（面向老师）</x:t>
  </x:si>
  <x:si>
    <x:t xml:space="preserve">编号</x:t>
  </x:si>
  <x:si>
    <x:t xml:space="preserve">用户旅程项</x:t>
  </x:si>
  <x:si>
    <x:t xml:space="preserve">前置条件</x:t>
  </x:si>
  <x:si>
    <x:t xml:space="preserve">操作</x:t>
  </x:si>
  <x:si>
    <x:t xml:space="preserve">预期结果</x:t>
  </x:si>
  <x:si>
    <x:t xml:space="preserve">证据链接/编号</x:t>
  </x:si>
  <x:si>
    <x:t xml:space="preserve">关联 Task</x:t>
  </x:si>
  <x:si>
    <x:t xml:space="preserve">备注</x:t>
  </x:si>
  <x:si>
    <x:t xml:space="preserve">UAT-S2-001</x:t>
  </x:si>
  <x:si>
    <x:t xml:space="preserve">组织者固定六问</x:t>
  </x:si>
  <x:si>
    <x:t xml:space="preserve">打开公网 /plan，选择多人创建</x:t>
  </x:si>
  <x:si>
    <x:t xml:space="preserve">依次回答目标/人数/起终点预算/兴趣/关怀/确认</x:t>
  </x:si>
  <x:si>
    <x:t xml:space="preserve">提交前模型调用 0；提交后一次解析并显示确认卡</x:t>
  </x:si>
  <x:si>
    <x:t xml:space="preserve">待验收</x:t>
  </x:si>
  <x:si>
    <x:t xml:space="preserve">待录屏</x:t>
  </x:si>
  <x:si>
    <x:t xml:space="preserve">UAT-S2-002</x:t>
  </x:si>
  <x:si>
    <x:t xml:space="preserve">邀请链接</x:t>
  </x:si>
  <x:si>
    <x:t xml:space="preserve">组织者确认卡已生成，人数为 3</x:t>
  </x:si>
  <x:si>
    <x:t xml:space="preserve">复制两个邀请链接分别在两个浏览器打开</x:t>
  </x:si>
  <x:si>
    <x:t xml:space="preserve">每个链接只对应一个 participantId，显示共享 Trip 信息</x:t>
  </x:si>
  <x:si>
    <x:t xml:space="preserve">待截图</x:t>
  </x:si>
  <x:si>
    <x:t xml:space="preserve">UAT-S2-003</x:t>
  </x:si>
  <x:si>
    <x:t xml:space="preserve">两名成员会话隔离</x:t>
  </x:si>
  <x:si>
    <x:t xml:space="preserve">两个成员链接有效</x:t>
  </x:si>
  <x:si>
    <x:t xml:space="preserve">成员 A/B 分别填写不同兴趣/避开项并确认</x:t>
  </x:si>
  <x:si>
    <x:t xml:space="preserve">A/B 资料互不覆盖；确认后原链接失效</x:t>
  </x:si>
  <x:si>
    <x:t xml:space="preserve">S2-T027,T029</x:t>
  </x:si>
  <x:si>
    <x:t xml:space="preserve">UAT-S2-004</x:t>
  </x:si>
  <x:si>
    <x:t xml:space="preserve">全员确认门禁</x:t>
  </x:si>
  <x:si>
    <x:t xml:space="preserve">组织者确认，至少一名成员未确认</x:t>
  </x:si>
  <x:si>
    <x:t xml:space="preserve">尝试进入推荐/规划接口</x:t>
  </x:si>
  <x:si>
    <x:t xml:space="preserve">返回等待或 409；Provider、推荐、规划调用次数为 0</x:t>
  </x:si>
  <x:si>
    <x:t xml:space="preserve">待补测试</x:t>
  </x:si>
  <x:si>
    <x:t xml:space="preserve">CALLCOUNT-S2-001</x:t>
  </x:si>
  <x:si>
    <x:t xml:space="preserve">UAT-S2-005</x:t>
  </x:si>
  <x:si>
    <x:t xml:space="preserve">硬冲突处理</x:t>
  </x:si>
  <x:si>
    <x:t xml:space="preserve">一人必去 A，另一人避开 A</x:t>
  </x:si>
  <x:si>
    <x:t xml:space="preserve">全员确认后查看组织者冲突页并选择放宽项</x:t>
  </x:si>
  <x:si>
    <x:t xml:space="preserve">显示 participantId/ruleId/原因/可放宽项；放宽后可 READY_TO_PLAN</x:t>
  </x:si>
  <x:si>
    <x:t xml:space="preserve">UAT-S2-CONFLICT</x:t>
  </x:si>
  <x:si>
    <x:t xml:space="preserve">UAT-S2-006</x:t>
  </x:si>
  <x:si>
    <x:t xml:space="preserve">READY_TO_PLAN，真实/缓存高德可用</x:t>
  </x:si>
  <x:si>
    <x:t xml:space="preserve">进入推荐页</x:t>
  </x:si>
  <x:si>
    <x:t xml:space="preserve">签发 6-8 个 FactRef；只显示唯一方案、成员得分与妥协说明</x:t>
  </x:si>
  <x:si>
    <x:t xml:space="preserve">REC-S2-001</x:t>
  </x:si>
  <x:si>
    <x:t xml:space="preserve">S2-T030,T031</x:t>
  </x:si>
  <x:si>
    <x:t xml:space="preserve">UAT-S2-007</x:t>
  </x:si>
  <x:si>
    <x:t xml:space="preserve">GPS 四类/五类结果</x:t>
  </x:si>
  <x:si>
    <x:t xml:space="preserve">已有 CURRENT 计划任务</x:t>
  </x:si>
  <x:si>
    <x:t xml:space="preserve">分别模拟成功、过远、拒绝、超时、低精度</x:t>
  </x:si>
  <x:si>
    <x:t xml:space="preserve">成功自动到达；其他可人工确认且原因可见</x:t>
  </x:si>
  <x:si>
    <x:t xml:space="preserve">后端完成/前端待验</x:t>
  </x:si>
  <x:si>
    <x:t xml:space="preserve">GPS-S2-001</x:t>
  </x:si>
  <x:si>
    <x:t xml:space="preserve">UAT-S2-008</x:t>
  </x:si>
  <x:si>
    <x:t xml:space="preserve">照片限制</x:t>
  </x:si>
  <x:si>
    <x:t xml:space="preserve">执行页已开始</x:t>
  </x:si>
  <x:si>
    <x:t xml:space="preserve">每站上传/替换/删除；尝试第 9 张</x:t>
  </x:si>
  <x:si>
    <x:t xml:space="preserve">每站 1 张、全程 8 张；失败不阻断；删除后回忆页消失</x:t>
  </x:si>
  <x:si>
    <x:t xml:space="preserve">PHOTO-S2-001</x:t>
  </x:si>
  <x:si>
    <x:t xml:space="preserve">S2-T011,T012</x:t>
  </x:si>
  <x:si>
    <x:t xml:space="preserve">UAT-S2-009</x:t>
  </x:si>
  <x:si>
    <x:t xml:space="preserve">迟到/疲劳触发 V2</x:t>
  </x:si>
  <x:si>
    <x:t xml:space="preserve">执行中已有 CURRENT V1</x:t>
  </x:si>
  <x:si>
    <x:t xml:space="preserve">输入迟到/疲劳，确认事件，预览 V2</x:t>
  </x:si>
  <x:si>
    <x:t xml:space="preserve">候选为 PROPOSED；HARD 失败零写入；解释失败仍有结构化 Diff</x:t>
  </x:si>
  <x:si>
    <x:t xml:space="preserve">REPLAN-S2-001</x:t>
  </x:si>
  <x:si>
    <x:t xml:space="preserve">UAT-S2-010</x:t>
  </x:si>
  <x:si>
    <x:t xml:space="preserve">组织者接受/拒绝</x:t>
  </x:si>
  <x:si>
    <x:t xml:space="preserve">V2 候选已生成</x:t>
  </x:si>
  <x:si>
    <x:t xml:space="preserve">分别执行 ACCEPT 和 REJECT</x:t>
  </x:si>
  <x:si>
    <x:t xml:space="preserve">接受唯一 CURRENT 切换；拒绝保留原计划</x:t>
  </x:si>
  <x:si>
    <x:t xml:space="preserve">DECISION-S2-001</x:t>
  </x:si>
  <x:si>
    <x:t xml:space="preserve">S2-T022,T023</x:t>
  </x:si>
  <x:si>
    <x:t xml:space="preserve">UAT-S2-011</x:t>
  </x:si>
  <x:si>
    <x:t xml:space="preserve">完成/费用/照片/V2 已产生</x:t>
  </x:si>
  <x:si>
    <x:t xml:space="preserve">进入总结/回忆区域</x:t>
  </x:si>
  <x:si>
    <x:t xml:space="preserve">按实际顺序显示完成率、费用、关怀、Diff 与未删除照片</x:t>
  </x:si>
  <x:si>
    <x:t xml:space="preserve">MEMORY-S2-001</x:t>
  </x:si>
  <x:si>
    <x:t xml:space="preserve">S2-T017,T018</x:t>
  </x:si>
  <x:si>
    <x:t xml:space="preserve">UAT-S2-012</x:t>
  </x:si>
  <x:si>
    <x:t xml:space="preserve">375/768 响应式</x:t>
  </x:si>
  <x:si>
    <x:t xml:space="preserve">公网环境</x:t>
  </x:si>
  <x:si>
    <x:t xml:space="preserve">在 375px 和 768px 视口跑六问、推荐、执行、回忆</x:t>
  </x:si>
  <x:si>
    <x:t xml:space="preserve">文本不遮挡，按钮可点击，关键数字可读</x:t>
  </x:si>
  <x:si>
    <x:t xml:space="preserve">未开始</x:t>
  </x:si>
  <x:si>
    <x:t xml:space="preserve">RESP-S2-001</x:t>
  </x:si>
  <x:si>
    <x:t xml:space="preserve">S2-T024,T032</x:t>
  </x:si>
  <x:si>
    <x:t xml:space="preserve">UAT-S2-013</x:t>
  </x:si>
  <x:si>
    <x:t xml:space="preserve">降级与失败提示</x:t>
  </x:si>
  <x:si>
    <x:t xml:space="preserve">关闭百炼或模拟非 JSON/超时</x:t>
  </x:si>
  <x:si>
    <x:t xml:space="preserve">提交六问/事件/候选排序</x:t>
  </x:si>
  <x:si>
    <x:t xml:space="preserve">提示降级；不丢原始输入；确定性回退继续可用</x:t>
  </x:si>
  <x:si>
    <x:t xml:space="preserve">DEGRADE-S2-001</x:t>
  </x:si>
  <x:si>
    <x:t xml:space="preserve">S2-T004,T031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</x:si>
</x:sst>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0"/>
  </x:numFmts>
  <x:fonts count="29">
    <x:font>
      <x:sz val="12"/>
      <x:name val="宋体"/>
    </x:font>
    <x:font>
      <x:b/>
      <x:sz val="12"/>
      <x:color rgb="FFFFFFFF"/>
      <x:name val="宋体"/>
    </x:font>
    <x:font>
      <x:sz val="12"/>
      <x:color rgb="FF1D1D1F"/>
      <x:name val="宋体"/>
    </x:font>
    <x:font>
      <x:sz val="9"/>
      <x:color rgb="FF1F2937"/>
      <x:name val="Microsoft YaHei"/>
    </x:font>
    <x:font>
      <x:b/>
      <x:sz val="17"/>
      <x:color rgb="FFFFFFFF"/>
      <x:name val="Microsoft YaHei"/>
    </x:font>
    <x:font>
      <x:b/>
      <x:sz val="11"/>
      <x:color rgb="FF111827"/>
      <x:name val="Microsoft YaHei"/>
    </x:font>
    <x:font>
      <x:b/>
      <x:sz val="12"/>
      <x:color rgb="FF1F4E78"/>
      <x:name val="宋体"/>
    </x:font>
    <x:font>
      <x:b/>
      <x:sz val="10"/>
      <x:color rgb="FF111827"/>
      <x:name val="Microsoft YaHei"/>
    </x:font>
    <x:font>
      <x:b/>
      <x:sz val="9"/>
      <x:color rgb="FF1F4E78"/>
      <x:name val="Microsoft YaHe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0"/>
      <x:name val="宋体"/>
    </x:font>
  </x:fonts>
  <x:fills count="4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9900"/>
      </x:patternFill>
    </x:fill>
    <x:fill>
      <x:patternFill patternType="solid">
        <x:fgColor rgb="FFD9EAF7"/>
      </x:patternFill>
    </x:fill>
    <x:fill>
      <x:patternFill patternType="solid">
        <x:fgColor rgb="FFEEF4FA"/>
      </x:patternFill>
    </x:fill>
    <x:fill>
      <x:patternFill patternType="solid">
        <x:fgColor rgb="FFFFF4CC"/>
      </x:patternFill>
    </x:fill>
    <x:fill>
      <x:patternFill patternType="solid">
        <x:fgColor rgb="FFFFCC00"/>
      </x:patternFill>
    </x:fill>
    <x:fill>
      <x:patternFill patternType="solid">
        <x:fgColor rgb="FFF3F4F6"/>
      </x:patternFill>
    </x:fill>
    <x:fill>
      <x:patternFill patternType="solid">
        <x:fgColor indexed="9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5"/>
      </x:patternFill>
    </x:fill>
    <x:fill>
      <x:patternFill patternType="solid">
        <x:fgColor theme="4" tint="0.59996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5"/>
      </x:patternFill>
    </x:fill>
    <x:fill>
      <x:patternFill patternType="solid">
        <x:fgColor theme="5" tint="0.59996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5"/>
      </x:patternFill>
    </x:fill>
    <x:fill>
      <x:patternFill patternType="solid">
        <x:fgColor theme="6" tint="0.59996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5"/>
      </x:patternFill>
    </x:fill>
    <x:fill>
      <x:patternFill patternType="solid">
        <x:fgColor theme="7" tint="0.59996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5"/>
      </x:patternFill>
    </x:fill>
    <x:fill>
      <x:patternFill patternType="solid">
        <x:fgColor theme="8" tint="0.59996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5"/>
      </x:patternFill>
    </x:fill>
    <x:fill>
      <x:patternFill patternType="solid">
        <x:fgColor theme="9" tint="0.59996"/>
      </x:patternFill>
    </x:fill>
    <x:fill>
      <x:patternFill patternType="solid">
        <x:fgColor theme="9" tint="0.39998"/>
      </x:patternFill>
    </x:fill>
  </x:fills>
  <x:borders count="17">
    <x:border/>
    <x:border>
      <x:left style="thin">
        <x:color rgb="FFAAB4C0"/>
      </x:left>
      <x:right style="thin">
        <x:color rgb="FFAAB4C0"/>
      </x:right>
      <x:top style="thin">
        <x:color rgb="FFAAB4C0"/>
      </x:top>
      <x:bottom style="thin">
        <x:color rgb="FFAAB4C0"/>
      </x:bottom>
    </x:border>
    <x:border>
      <x:left style="medium">
        <x:color rgb="FF1F4E78"/>
      </x:left>
      <x:right style="medium">
        <x:color rgb="FF1F4E78"/>
      </x:right>
      <x:top style="medium">
        <x:color rgb="FF1F4E78"/>
      </x:top>
      <x:bottom style="medium">
        <x:color rgb="FF1F4E78"/>
      </x:bottom>
    </x:border>
    <x:border>
      <x:top style="thin">
        <x:color rgb="FFAAB4C0"/>
      </x:top>
    </x:border>
    <x:border>
      <x:right style="thin">
        <x:color rgb="FFAAB4C0"/>
      </x:right>
      <x:top style="thin">
        <x:color rgb="FFAAB4C0"/>
      </x:top>
    </x:border>
    <x:border>
      <x:bottom style="thin">
        <x:color rgb="FFAAB4C0"/>
      </x:bottom>
    </x:border>
    <x:border>
      <x:right style="thin">
        <x:color rgb="FFAAB4C0"/>
      </x:right>
      <x:bottom style="thin">
        <x:color rgb="FFAAB4C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5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9" fillId="0" borderId="0" applyFont="0" applyFill="0" applyBorder="0" applyAlignment="0" applyProtection="0">
      <x:alignment vertical="center"/>
    </x:xf>
    <x:xf numFmtId="44" fontId="9" fillId="0" borderId="0" applyFont="0" applyFill="0" applyBorder="0" applyAlignment="0" applyProtection="0">
      <x:alignment vertical="center"/>
    </x:xf>
    <x:xf numFmtId="9" fontId="9" fillId="0" borderId="0" applyFont="0" applyFill="0" applyBorder="0" applyAlignment="0" applyProtection="0">
      <x:alignment vertical="center"/>
    </x:xf>
    <x:xf numFmtId="41" fontId="9" fillId="0" borderId="0" applyFont="0" applyFill="0" applyBorder="0" applyAlignment="0" applyProtection="0">
      <x:alignment vertical="center"/>
    </x:xf>
    <x:xf numFmtId="42" fontId="9" fillId="0" borderId="0" applyFon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9" fillId="10" borderId="9" applyNumberFormat="0" applyFont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10" applyNumberFormat="0" applyFill="0" applyAlignment="0" applyProtection="0">
      <x:alignment vertical="center"/>
    </x:xf>
    <x:xf numFmtId="0" fontId="16" fillId="0" borderId="10" applyNumberFormat="0" applyFill="0" applyAlignment="0" applyProtection="0">
      <x:alignment vertical="center"/>
    </x:xf>
    <x:xf numFmtId="0" fontId="17" fillId="0" borderId="11" applyNumberFormat="0" applyFill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11" borderId="12" applyNumberFormat="0" applyAlignment="0" applyProtection="0">
      <x:alignment vertical="center"/>
    </x:xf>
    <x:xf numFmtId="0" fontId="19" fillId="12" borderId="13" applyNumberFormat="0" applyAlignment="0" applyProtection="0">
      <x:alignment vertical="center"/>
    </x:xf>
    <x:xf numFmtId="0" fontId="20" fillId="12" borderId="12" applyNumberFormat="0" applyAlignment="0" applyProtection="0">
      <x:alignment vertical="center"/>
    </x:xf>
    <x:xf numFmtId="0" fontId="21" fillId="13" borderId="14" applyNumberFormat="0" applyAlignment="0" applyProtection="0">
      <x:alignment vertical="center"/>
    </x:xf>
    <x:xf numFmtId="0" fontId="22" fillId="0" borderId="15" applyNumberFormat="0" applyFill="0" applyAlignment="0" applyProtection="0">
      <x:alignment vertical="center"/>
    </x:xf>
    <x:xf numFmtId="0" fontId="23" fillId="0" borderId="16" applyNumberFormat="0" applyFill="0" applyAlignment="0" applyProtection="0">
      <x:alignment vertical="center"/>
    </x:xf>
    <x:xf numFmtId="0" fontId="24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7" fillId="17" borderId="0" applyNumberFormat="0" applyBorder="0" applyAlignment="0" applyProtection="0">
      <x:alignment vertical="center"/>
    </x:xf>
    <x:xf numFmtId="0" fontId="9" fillId="18" borderId="0" applyNumberFormat="0" applyBorder="0" applyAlignment="0" applyProtection="0">
      <x:alignment vertical="center"/>
    </x:xf>
    <x:xf numFmtId="0" fontId="9" fillId="19" borderId="0" applyNumberFormat="0" applyBorder="0" applyAlignment="0" applyProtection="0">
      <x:alignment vertical="center"/>
    </x:xf>
    <x:xf numFmtId="0" fontId="27" fillId="20" borderId="0" applyNumberFormat="0" applyBorder="0" applyAlignment="0" applyProtection="0">
      <x:alignment vertical="center"/>
    </x:xf>
    <x:xf numFmtId="0" fontId="27" fillId="21" borderId="0" applyNumberFormat="0" applyBorder="0" applyAlignment="0" applyProtection="0">
      <x:alignment vertical="center"/>
    </x:xf>
    <x:xf numFmtId="0" fontId="9" fillId="22" borderId="0" applyNumberFormat="0" applyBorder="0" applyAlignment="0" applyProtection="0">
      <x:alignment vertical="center"/>
    </x:xf>
    <x:xf numFmtId="0" fontId="9" fillId="23" borderId="0" applyNumberFormat="0" applyBorder="0" applyAlignment="0" applyProtection="0">
      <x:alignment vertical="center"/>
    </x:xf>
    <x:xf numFmtId="0" fontId="27" fillId="24" borderId="0" applyNumberFormat="0" applyBorder="0" applyAlignment="0" applyProtection="0">
      <x:alignment vertical="center"/>
    </x:xf>
    <x:xf numFmtId="0" fontId="27" fillId="25" borderId="0" applyNumberFormat="0" applyBorder="0" applyAlignment="0" applyProtection="0">
      <x:alignment vertical="center"/>
    </x:xf>
    <x:xf numFmtId="0" fontId="9" fillId="26" borderId="0" applyNumberFormat="0" applyBorder="0" applyAlignment="0" applyProtection="0">
      <x:alignment vertical="center"/>
    </x:xf>
    <x:xf numFmtId="0" fontId="9" fillId="27" borderId="0" applyNumberFormat="0" applyBorder="0" applyAlignment="0" applyProtection="0">
      <x:alignment vertical="center"/>
    </x:xf>
    <x:xf numFmtId="0" fontId="27" fillId="28" borderId="0" applyNumberFormat="0" applyBorder="0" applyAlignment="0" applyProtection="0">
      <x:alignment vertical="center"/>
    </x:xf>
    <x:xf numFmtId="0" fontId="27" fillId="29" borderId="0" applyNumberFormat="0" applyBorder="0" applyAlignment="0" applyProtection="0">
      <x:alignment vertical="center"/>
    </x:xf>
    <x:xf numFmtId="0" fontId="9" fillId="30" borderId="0" applyNumberFormat="0" applyBorder="0" applyAlignment="0" applyProtection="0">
      <x:alignment vertical="center"/>
    </x:xf>
    <x:xf numFmtId="0" fontId="9" fillId="31" borderId="0" applyNumberFormat="0" applyBorder="0" applyAlignment="0" applyProtection="0">
      <x:alignment vertical="center"/>
    </x:xf>
    <x:xf numFmtId="0" fontId="27" fillId="32" borderId="0" applyNumberFormat="0" applyBorder="0" applyAlignment="0" applyProtection="0">
      <x:alignment vertical="center"/>
    </x:xf>
    <x:xf numFmtId="0" fontId="27" fillId="33" borderId="0" applyNumberFormat="0" applyBorder="0" applyAlignment="0" applyProtection="0">
      <x:alignment vertical="center"/>
    </x:xf>
    <x:xf numFmtId="0" fontId="9" fillId="34" borderId="0" applyNumberFormat="0" applyBorder="0" applyAlignment="0" applyProtection="0">
      <x:alignment vertical="center"/>
    </x:xf>
    <x:xf numFmtId="0" fontId="9" fillId="35" borderId="0" applyNumberFormat="0" applyBorder="0" applyAlignment="0" applyProtection="0">
      <x:alignment vertical="center"/>
    </x:xf>
    <x:xf numFmtId="0" fontId="27" fillId="36" borderId="0" applyNumberFormat="0" applyBorder="0" applyAlignment="0" applyProtection="0">
      <x:alignment vertical="center"/>
    </x:xf>
    <x:xf numFmtId="0" fontId="27" fillId="37" borderId="0" applyNumberFormat="0" applyBorder="0" applyAlignment="0" applyProtection="0">
      <x:alignment vertical="center"/>
    </x:xf>
    <x:xf numFmtId="0" fontId="9" fillId="38" borderId="0" applyNumberFormat="0" applyBorder="0" applyAlignment="0" applyProtection="0">
      <x:alignment vertical="center"/>
    </x:xf>
    <x:xf numFmtId="0" fontId="9" fillId="39" borderId="0" applyNumberFormat="0" applyBorder="0" applyAlignment="0" applyProtection="0">
      <x:alignment vertical="center"/>
    </x:xf>
    <x:xf numFmtId="0" fontId="27" fillId="40" borderId="0" applyNumberFormat="0" applyBorder="0" applyAlignment="0" applyProtection="0">
      <x:alignment vertical="center"/>
    </x:xf>
  </x:cellStyleXfs>
  <x:cellXfs count="23">
    <x:xf numFmtId="0" fontId="0" fillId="0" borderId="0" xfId="0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1" xfId="0" applyFont="1" applyBorder="1" applyAlignment="1">
      <x:alignment horizontal="center" vertical="center" wrapText="1"/>
    </x:xf>
    <x:xf numFmtId="0" fontId="3" fillId="0" borderId="1" xfId="0" applyFont="1" applyBorder="1" applyAlignment="1">
      <x:alignment vertical="center" wrapText="1"/>
    </x:xf>
    <x:xf numFmtId="0" fontId="4" fillId="2" borderId="0" xfId="0" applyFont="1" applyFill="1" applyAlignment="1">
      <x:alignment horizontal="left" vertical="center"/>
    </x:xf>
    <x:xf numFmtId="0" fontId="5" fillId="3" borderId="0" xfId="0" applyFont="1" applyFill="1" applyAlignment="1">
      <x:alignment horizontal="left" vertical="center"/>
    </x:xf>
    <x:xf numFmtId="0" fontId="6" fillId="4" borderId="1" xfId="0" applyNumberFormat="1" applyFont="1" applyFill="1" applyBorder="1" applyAlignment="1">
      <x:alignment vertical="top" wrapText="1"/>
    </x:xf>
    <x:xf numFmtId="0" fontId="3" fillId="5" borderId="0" xfId="0" applyFont="1" applyFill="1"/>
    <x:xf numFmtId="0" fontId="3" fillId="6" borderId="0" xfId="0" applyFont="1" applyFill="1" applyAlignment="1">
      <x:alignment wrapText="1"/>
    </x:xf>
    <x:xf numFmtId="0" fontId="7" fillId="7" borderId="1" xfId="0" applyFont="1" applyFill="1" applyBorder="1" applyAlignment="1">
      <x:alignment horizontal="center" vertical="center" wrapText="1"/>
    </x:xf>
    <x:xf numFmtId="0" fontId="8" fillId="4" borderId="2" xfId="0" applyFont="1" applyFill="1" applyBorder="1" applyAlignment="1">
      <x:alignment vertical="center" wrapText="1"/>
    </x:xf>
    <x:xf numFmtId="0" fontId="3" fillId="8" borderId="3" xfId="0" applyFont="1" applyFill="1" applyBorder="1" applyAlignment="1">
      <x:alignment vertical="center" wrapText="1"/>
    </x:xf>
    <x:xf numFmtId="0" fontId="3" fillId="8" borderId="4" xfId="0" applyFont="1" applyFill="1" applyBorder="1" applyAlignment="1">
      <x:alignment vertical="center" wrapText="1"/>
    </x:xf>
    <x:xf numFmtId="0" fontId="3" fillId="8" borderId="5" xfId="0" applyFont="1" applyFill="1" applyBorder="1" applyAlignment="1">
      <x:alignment vertical="center" wrapText="1"/>
    </x:xf>
    <x:xf numFmtId="0" fontId="3" fillId="8" borderId="6" xfId="0" applyFont="1" applyFill="1" applyBorder="1" applyAlignment="1">
      <x:alignment vertical="center" wrapText="1"/>
    </x:xf>
    <x:xf numFmtId="0" fontId="0" fillId="0" borderId="7" xfId="0" applyBorder="1"/>
    <x:xf numFmtId="0" fontId="0" fillId="0" borderId="8" xfId="0" applyBorder="1"/>
    <x:xf numFmtId="0" fontId="6" fillId="0" borderId="1" xfId="0" applyNumberFormat="1" applyFont="1" applyFill="1" applyBorder="1" applyAlignment="1">
      <x:alignment vertical="top" wrapText="1"/>
    </x:xf>
    <x:xf numFmtId="176" fontId="2" fillId="0" borderId="1" xfId="0" applyNumberFormat="1" applyFont="1" applyFill="1" applyBorder="1" applyAlignment="1">
      <x:alignment vertical="top" wrapText="1"/>
    </x:xf>
    <x:xf numFmtId="0" fontId="0" fillId="9" borderId="0" xfId="0" applyFill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24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FF4CC"/>
        </x:patternFill>
      </x:fill>
    </x:dxf>
    <x:dxf>
      <x:font>
        <x:b/>
        <x:color rgb="FF1F4E78"/>
      </x:font>
      <x:fill>
        <x:patternFill>
          <x:bgColor rgb="FFEEF4FA"/>
        </x:patternFill>
      </x:fill>
    </x:dxf>
    <x:dxf>
      <x:font>
        <x:b/>
        <x:color rgb="FF8A5A00"/>
      </x:font>
      <x:fill>
        <x:patternFill>
          <x:bgColor rgb="FFFFF4CC"/>
        </x:patternFill>
      </x:fill>
    </x:dxf>
    <x:dxf>
      <x:font>
        <x:b/>
        <x:color rgb="FF1B5E20"/>
      </x:font>
      <x:fill>
        <x:patternFill>
          <x:bgColor rgb="FFE2F0D9"/>
        </x:patternFill>
      </x:fill>
    </x:dxf>
    <x:dxf>
      <x:font>
        <x:b/>
        <x:color rgb="FFB42318"/>
      </x:font>
      <x:fill>
        <x:patternFill>
          <x:bgColor rgb="FFFCE8E6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d79c5997ff4fad" /><Relationship Type="http://schemas.openxmlformats.org/officeDocument/2006/relationships/theme" Target="/xl/theme/theme1.xml" Id="Re4bb1301b284431a" /><Relationship Type="http://schemas.openxmlformats.org/officeDocument/2006/relationships/sharedStrings" Target="/xl/sharedStrings.xml" Id="R4c9ed357962e44ac" /><Relationship Type="http://schemas.openxmlformats.org/officeDocument/2006/relationships/worksheet" Target="/xl/worksheets/sheet1.xml" Id="Rd5e57879ee784f36" /><Relationship Type="http://schemas.openxmlformats.org/officeDocument/2006/relationships/worksheet" Target="/xl/worksheets/sheet2.xml" Id="R390cf646446e4cd0" /><Relationship Type="http://schemas.openxmlformats.org/officeDocument/2006/relationships/worksheet" Target="/xl/worksheets/sheet3.xml" Id="R21111b1bd1084d35" /><Relationship Type="http://schemas.openxmlformats.org/officeDocument/2006/relationships/worksheet" Target="/xl/worksheets/sheet4.xml" Id="R3ff38968576a4126" /><Relationship Type="http://schemas.openxmlformats.org/officeDocument/2006/relationships/worksheet" Target="/xl/worksheets/sheet5.xml" Id="Rdb46c7c8a27f4e35" /><Relationship Type="http://schemas.openxmlformats.org/officeDocument/2006/relationships/worksheet" Target="/xl/worksheets/sheet6.xml" Id="Rb3c9147ce37e4598" /><Relationship Type="http://schemas.openxmlformats.org/officeDocument/2006/relationships/worksheet" Target="/xl/worksheets/sheet7.xml" Id="R35ee1969adf742fd" /><Relationship Type="http://schemas.microsoft.com/office/2017/10/relationships/person" Target="/xl/persons/person.xml" Id="R057bba460cc44cd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ceeea51ca4b44aa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i="0" u="none">
                <a:solidFill>
                  <a:schemeClr val="tx1"/>
                </a:solidFill>
                <a:latin typeface="+mn-lt"/>
                <a:ea typeface="+mn-lt"/>
                <a:cs typeface="+mn-lt"/>
              </a:rPr>
              <a:t>Sprint 2 剩余工时燃尽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"计划剩余"</c:f>
              <c:strCache>
                <c:ptCount val="1"/>
                <c:pt idx="0">
                  <c:v>计划剩余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燃尽图!$A$22:$A$25</c:f>
              <c:strCache>
                <c:ptCount val="4"/>
                <c:pt idx="0">
                  <c:v>Sprint开始</c:v>
                </c:pt>
                <c:pt idx="1">
                  <c:v>Day1结束</c:v>
                </c:pt>
                <c:pt idx="2">
                  <c:v>Day2结束</c:v>
                </c:pt>
                <c:pt idx="3">
                  <c:v>Day3验收</c:v>
                </c:pt>
              </c:strCache>
            </c:strRef>
          </c:cat>
          <c:val>
            <c:numRef>
              <c:f>燃尽图!$B$22:$B$25</c:f>
              <c:numCache>
                <c:formatCode>General</c:formatCode>
                <c:ptCount val="4"/>
                <c:pt idx="0">
                  <c:v>60</c:v>
                </c:pt>
                <c:pt idx="1">
                  <c:v>45</c:v>
                </c:pt>
                <c:pt idx="2">
                  <c:v>30</c:v>
                </c:pt>
                <c:pt idx="3">
                  <c:v>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"实际剩余"</c:f>
              <c:strCache>
                <c:ptCount val="1"/>
                <c:pt idx="0">
                  <c:v>实际剩余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燃尽图!$A$22:$A$25</c:f>
              <c:strCache>
                <c:ptCount val="4"/>
                <c:pt idx="0">
                  <c:v>Sprint开始</c:v>
                </c:pt>
                <c:pt idx="1">
                  <c:v>Day1结束</c:v>
                </c:pt>
                <c:pt idx="2">
                  <c:v>Day2结束</c:v>
                </c:pt>
                <c:pt idx="3">
                  <c:v>Day3验收</c:v>
                </c:pt>
              </c:strCache>
            </c:strRef>
          </c:cat>
          <c:val>
            <c:numRef>
              <c:f>燃尽图!$C$22:$C$25</c:f>
              <c:numCache>
                <c:formatCode>General</c:formatCode>
                <c:ptCount val="4"/>
                <c:pt idx="0">
                  <c:v>60</c:v>
                </c:pt>
                <c:pt idx="1">
                  <c:v>56</c:v>
                </c:pt>
                <c:pt idx="2">
                  <c:v>55</c:v>
                </c:pt>
                <c:pt idx="3">
                  <c:v>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rot="-60000000" spcFirstLastPara="0" vert="horz" wrap="square" anchor="ctr" anchorCtr="1"/>
          <a:lstStyle xmlns:a="http://schemas.openxmlformats.org/drawingml/2006/main"/>
          <a:p xmlns:a="http://schemas.openxmlformats.org/drawingml/2006/main">
            <a:pPr>
              <a:defRPr sz="10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10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000" b="0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20</xdr:row>
      <xdr:rowOff>0</xdr:rowOff>
    </xdr:from>
    <xdr:to>
      <xdr:col>8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ceeea51ca4b44aa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作者" id="{D0CF6DBD-0572-B7D5-0EF1-C03B56F0193B}"/>
</xltc:personList>
</file>

<file path=xl/tables/table1.xml><?xml version="1.0" encoding="utf-8"?>
<x:table xmlns:x="http://schemas.openxmlformats.org/spreadsheetml/2006/main" id="1" name="LLMArchitectureMapping" displayName="LLMArchitectureMapping" ref="A5:D14" totalsRowShown="0">
  <x:autoFilter ref="A5:D14"/>
  <x:tableColumns count="4">
    <x:tableColumn id="1" name="契约/边界"/>
    <x:tableColumn id="2" name="现有复用位置"/>
    <x:tableColumn id="3" name="当前状态/缺口"/>
    <x:tableColumn id="4" name="推荐职责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LMModuleChanges" displayName="LLMModuleChanges" ref="A27:C39" totalsRowShown="0">
  <x:autoFilter ref="A27:C39"/>
  <x:tableColumns count="3">
    <x:tableColumn id="1" name="类型"/>
    <x:tableColumn id="2" name="模块/接口"/>
    <x:tableColumn id="3" name="改动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LMDegradationMatrix" displayName="LLMDegradationMatrix" ref="A42:B50" totalsRowShown="0">
  <x:autoFilter ref="A42:B50"/>
  <x:tableColumns count="2">
    <x:tableColumn id="1" name="故障"/>
    <x:tableColumn id="2" name="用户与系统行为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LMImplementationOrder" displayName="LLMImplementationOrder" ref="A61:C69" totalsRowShown="0">
  <x:autoFilter ref="A61:C69"/>
  <x:tableColumns count="3">
    <x:tableColumn id="1" name="顺序"/>
    <x:tableColumn id="2" name="实施项"/>
    <x:tableColumn id="3" name="关联 Task/门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6" name="ReviewFeedbackActions" displayName="ReviewFeedbackActions" ref="A76:D82" totalsRowShown="0">
  <x:autoFilter ref="A76:D82"/>
  <x:tableColumns count="4">
    <x:tableColumn id="1" name="评审问题"/>
    <x:tableColumn id="2" name="本版处理"/>
    <x:tableColumn id="3" name="影响 Task"/>
    <x:tableColumn id="4" name="可验收证据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LLMJsonContract" displayName="LLMJsonContract" ref="A4:H33" totalsRowShown="0">
  <x:autoFilter ref="A4:H33"/>
  <x:tableColumns count="8">
    <x:tableColumn id="1" name="契约"/>
    <x:tableColumn id="2" name="方向"/>
    <x:tableColumn id="3" name="JSON Path"/>
    <x:tableColumn id="4" name="类型"/>
    <x:tableColumn id="5" name="必填"/>
    <x:tableColumn id="6" name="约束/枚举"/>
    <x:tableColumn id="7" name="含义"/>
    <x:tableColumn id="8" name="程序守卫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9858cbe001cd44b6" /><Relationship Type="http://schemas.openxmlformats.org/officeDocument/2006/relationships/vmlDrawing" Target="/xl/drawings/vmldrawing.vml" Id="Rfe8045cad7d540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1ba3c34f7f284e4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d01d457674624222" /><Relationship Type="http://schemas.openxmlformats.org/officeDocument/2006/relationships/table" Target="/xl/tables/table2.xml" Id="Rf1782a057cf2481f" /><Relationship Type="http://schemas.openxmlformats.org/officeDocument/2006/relationships/table" Target="/xl/tables/table3.xml" Id="Raf1f2aa78e214393" /><Relationship Type="http://schemas.openxmlformats.org/officeDocument/2006/relationships/table" Target="/xl/tables/table4.xml" Id="Rb034cc68e9d14bd4" /><Relationship Type="http://schemas.openxmlformats.org/officeDocument/2006/relationships/table" Target="/xl/tables/table5.xml" Id="R649924358f0a432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a5f7ec28aca40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5"/>
  <x:cols>
    <x:col min="1" max="1" width="18" style="22" customWidth="1"/>
    <x:col min="2" max="2" width="92" style="22" customWidth="1"/>
    <x:col min="3" max="8" width="4" style="22" customWidth="1"/>
    <x:col min="9" max="16384" width="9" style="22" customWidth="0"/>
  </x:cols>
  <x:sheetData>
    <x:row r="1" ht="24" customHeight="1">
      <x:c r="A1" s="1" t="s">
        <x:v>0</x:v>
      </x:c>
      <x:c r="B1" s="1"/>
      <x:c r="C1" s="1"/>
      <x:c r="D1" s="1"/>
      <x:c r="E1" s="1"/>
      <x:c r="F1" s="1"/>
      <x:c r="G1" s="1"/>
      <x:c r="H1" s="1"/>
    </x:row>
    <x:row r="2" ht="24" customHeight="1">
      <x:c r="A2" s="2" t="s">
        <x:v>1</x:v>
      </x:c>
      <x:c r="B2" s="2"/>
      <x:c r="C2" s="2"/>
      <x:c r="D2" s="2"/>
      <x:c r="E2" s="2"/>
      <x:c r="F2" s="2"/>
      <x:c r="G2" s="2"/>
      <x:c r="H2" s="2"/>
    </x:row>
    <x:row r="3" ht="24" customHeight="1">
      <x:c r="A3" s="9" t="s">
        <x:v>2</x:v>
      </x:c>
      <x:c r="B3" s="4" t="s">
        <x:v>3</x:v>
      </x:c>
      <x:c r="C3" s="2"/>
      <x:c r="D3" s="2"/>
      <x:c r="E3" s="2"/>
      <x:c r="F3" s="2"/>
      <x:c r="G3" s="2"/>
      <x:c r="H3" s="2"/>
    </x:row>
    <x:row r="4" ht="24" customHeight="1">
      <x:c r="A4" s="9" t="s">
        <x:v>4</x:v>
      </x:c>
      <x:c r="B4" s="4" t="s">
        <x:v>5</x:v>
      </x:c>
      <x:c r="C4" s="2"/>
      <x:c r="D4" s="2"/>
      <x:c r="E4" s="2"/>
      <x:c r="F4" s="2"/>
      <x:c r="G4" s="2"/>
      <x:c r="H4" s="2"/>
    </x:row>
    <x:row r="5" ht="24" customHeight="1">
      <x:c r="A5" s="9" t="s">
        <x:v>6</x:v>
      </x:c>
      <x:c r="B5" s="4" t="s">
        <x:v>7</x:v>
      </x:c>
      <x:c r="C5" s="2"/>
      <x:c r="D5" s="2"/>
      <x:c r="E5" s="2"/>
      <x:c r="F5" s="2"/>
      <x:c r="G5" s="2"/>
      <x:c r="H5" s="2"/>
    </x:row>
    <x:row r="6" ht="24" customHeight="1">
      <x:c r="A6" s="9" t="s">
        <x:v>8</x:v>
      </x:c>
      <x:c r="B6" s="4" t="s">
        <x:v>9</x:v>
      </x:c>
      <x:c r="C6" s="2"/>
      <x:c r="D6" s="2"/>
      <x:c r="E6" s="2"/>
      <x:c r="F6" s="2"/>
      <x:c r="G6" s="2"/>
      <x:c r="H6" s="2"/>
    </x:row>
    <x:row r="7" ht="24" customHeight="1">
      <x:c r="A7" s="9" t="s">
        <x:v>10</x:v>
      </x:c>
      <x:c r="B7" s="4" t="s">
        <x:v>11</x:v>
      </x:c>
      <x:c r="C7" s="2"/>
      <x:c r="D7" s="2"/>
      <x:c r="E7" s="2"/>
      <x:c r="F7" s="2"/>
      <x:c r="G7" s="2"/>
      <x:c r="H7" s="2"/>
    </x:row>
    <x:row r="8" ht="24" customHeight="1">
      <x:c r="A8" s="9" t="s">
        <x:v>12</x:v>
      </x:c>
      <x:c r="B8" s="4" t="s">
        <x:v>13</x:v>
      </x:c>
      <x:c r="C8" s="2"/>
      <x:c r="D8" s="2"/>
      <x:c r="E8" s="2"/>
      <x:c r="F8" s="2"/>
      <x:c r="G8" s="2"/>
      <x:c r="H8" s="2"/>
    </x:row>
    <x:row r="9" ht="24" customHeight="1">
      <x:c r="A9" s="9" t="s">
        <x:v>14</x:v>
      </x:c>
      <x:c r="B9" s="4"/>
      <x:c r="C9" s="2"/>
      <x:c r="D9" s="2"/>
      <x:c r="E9" s="2"/>
      <x:c r="F9" s="2"/>
      <x:c r="G9" s="2"/>
      <x:c r="H9" s="2"/>
    </x:row>
    <x:row r="10" ht="24" customHeight="1">
      <x:c r="A10" s="9" t="s">
        <x:v>15</x:v>
      </x:c>
      <x:c r="B10" s="4" t="s">
        <x:v>16</x:v>
      </x:c>
      <x:c r="C10" s="2"/>
      <x:c r="D10" s="2"/>
      <x:c r="E10" s="2"/>
      <x:c r="F10" s="2"/>
      <x:c r="G10" s="2"/>
      <x:c r="H10" s="2"/>
    </x:row>
    <x:row r="11" ht="24" customHeight="1">
      <x:c r="A11" s="9" t="s">
        <x:v>17</x:v>
      </x:c>
      <x:c r="B11" s="4" t="s">
        <x:v>18</x:v>
      </x:c>
      <x:c r="C11" s="2"/>
      <x:c r="D11" s="2"/>
      <x:c r="E11" s="2"/>
      <x:c r="F11" s="2"/>
      <x:c r="G11" s="2"/>
      <x:c r="H11" s="2"/>
    </x:row>
    <x:row r="12" ht="24" customHeight="1">
      <x:c r="A12" s="9" t="s">
        <x:v>19</x:v>
      </x:c>
      <x:c r="B12" s="4" t="s">
        <x:v>20</x:v>
      </x:c>
      <x:c r="C12" s="2"/>
      <x:c r="D12" s="2"/>
      <x:c r="E12" s="2"/>
      <x:c r="F12" s="2"/>
      <x:c r="G12" s="2"/>
      <x:c r="H12" s="2"/>
    </x:row>
    <x:row r="13" ht="24" customHeight="1">
      <x:c r="A13" s="9" t="s">
        <x:v>21</x:v>
      </x:c>
      <x:c r="B13" s="4" t="s">
        <x:v>22</x:v>
      </x:c>
      <x:c r="C13" s="2"/>
      <x:c r="D13" s="2"/>
      <x:c r="E13" s="2"/>
      <x:c r="F13" s="2"/>
      <x:c r="G13" s="2"/>
      <x:c r="H13" s="2"/>
    </x:row>
    <x:row r="14" ht="24" customHeight="1">
      <x:c r="A14" s="9" t="s">
        <x:v>23</x:v>
      </x:c>
      <x:c r="B14" s="4" t="s">
        <x:v>24</x:v>
      </x:c>
      <x:c r="C14" s="2"/>
      <x:c r="D14" s="2"/>
      <x:c r="E14" s="2"/>
      <x:c r="F14" s="2"/>
      <x:c r="G14" s="2"/>
      <x:c r="H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</x:row>
    <x:row r="18" ht="24" customHeight="1">
      <x:c r="A18" s="2" t="s">
        <x:v>25</x:v>
      </x:c>
      <x:c r="B18" s="2"/>
      <x:c r="C18" s="2"/>
      <x:c r="D18" s="2"/>
      <x:c r="E18" s="2"/>
      <x:c r="F18" s="2"/>
      <x:c r="G18" s="2"/>
      <x:c r="H18" s="2"/>
    </x:row>
    <x:row r="19" ht="24" customHeight="1">
      <x:c r="A19" s="2" t="s">
        <x:v>26</x:v>
      </x:c>
      <x:c r="B19" s="2"/>
      <x:c r="C19" s="2"/>
      <x:c r="D19" s="2"/>
      <x:c r="E19" s="2"/>
      <x:c r="F19" s="2"/>
      <x:c r="G19" s="2"/>
      <x:c r="H19" s="2"/>
    </x:row>
    <x:row r="20" ht="24" customHeight="1">
      <x:c r="A20" s="2" t="s">
        <x:v>27</x:v>
      </x:c>
      <x:c r="B20" s="2"/>
      <x:c r="C20" s="2"/>
      <x:c r="D20" s="2"/>
      <x:c r="E20" s="2"/>
      <x:c r="F20" s="2"/>
      <x:c r="G20" s="2"/>
      <x:c r="H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</x:row>
  </x:sheetData>
  <x:mergeCells>
    <x:mergeCell ref="A1:H1"/>
    <x:mergeCell ref="A2:H2"/>
    <x:mergeCell ref="B3:H3"/>
    <x:mergeCell ref="B4:H4"/>
    <x:mergeCell ref="B5:H5"/>
    <x:mergeCell ref="B6:H6"/>
    <x:mergeCell ref="B7:H7"/>
    <x:mergeCell ref="B8:H8"/>
    <x:mergeCell ref="B9:H9"/>
    <x:mergeCell ref="B10:H10"/>
    <x:mergeCell ref="B11:H11"/>
    <x:mergeCell ref="A15:H15"/>
    <x:mergeCell ref="A16:H16"/>
    <x:mergeCell ref="A17:H17"/>
    <x:mergeCell ref="A18:H18"/>
    <x:mergeCell ref="A19:H19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5"/>
  <x:cols>
    <x:col min="1" max="1" width="13" style="18" customWidth="1"/>
    <x:col min="2" max="3" width="12" style="18" customWidth="1"/>
    <x:col min="4" max="4" width="42" style="18" customWidth="1"/>
    <x:col min="5" max="5" width="54" style="18" customWidth="1"/>
    <x:col min="6" max="6" width="9" style="18" customWidth="1"/>
    <x:col min="7" max="7" width="12" style="18" customWidth="1"/>
    <x:col min="8" max="8" width="10" style="18" customWidth="1"/>
    <x:col min="9" max="9" width="11" style="18" customWidth="1"/>
    <x:col min="10" max="10" width="22" style="18" customWidth="1"/>
    <x:col min="11" max="11" width="11" style="18" customWidth="1"/>
    <x:col min="12" max="12" width="24" style="18" customWidth="1"/>
    <x:col min="13" max="13" width="11" style="18" customWidth="1"/>
    <x:col min="14" max="14" width="42" style="18" customWidth="1"/>
    <x:col min="15" max="15" width="42" style="19" customWidth="1"/>
    <x:col min="16" max="21" width="10" style="18" customWidth="1"/>
    <x:col min="22" max="22" width="12" style="18" customWidth="1"/>
    <x:col min="23" max="16384" width="9" style="18" customWidth="0"/>
  </x:cols>
  <x:sheetData>
    <x:row r="1" ht="44" customHeight="1">
      <x:c r="A1" s="3" t="s">
        <x:v>28</x:v>
      </x:c>
      <x:c r="B1" s="3" t="s">
        <x:v>29</x:v>
      </x:c>
      <x:c r="C1" s="3" t="s">
        <x:v>30</x:v>
      </x:c>
      <x:c r="D1" s="3" t="s">
        <x:v>31</x:v>
      </x:c>
      <x:c r="E1" s="3" t="s">
        <x:v>32</x:v>
      </x:c>
      <x:c r="F1" s="3" t="s">
        <x:v>33</x:v>
      </x:c>
      <x:c r="G1" s="3" t="s">
        <x:v>34</x:v>
      </x:c>
      <x:c r="H1" s="3" t="s">
        <x:v>35</x:v>
      </x:c>
      <x:c r="I1" s="3" t="s">
        <x:v>36</x:v>
      </x:c>
      <x:c r="J1" s="3" t="s">
        <x:v>37</x:v>
      </x:c>
      <x:c r="K1" s="3" t="s">
        <x:v>38</x:v>
      </x:c>
      <x:c r="L1" s="3" t="s">
        <x:v>39</x:v>
      </x:c>
      <x:c r="M1" s="3" t="s">
        <x:v>40</x:v>
      </x:c>
      <x:c r="N1" s="3" t="s">
        <x:v>41</x:v>
      </x:c>
      <x:c r="O1" s="3" t="s">
        <x:v>42</x:v>
      </x:c>
      <x:c r="P1" s="3" t="s">
        <x:v>43</x:v>
      </x:c>
      <x:c r="Q1" s="3" t="s">
        <x:v>44</x:v>
      </x:c>
      <x:c r="R1" s="3" t="s">
        <x:v>45</x:v>
      </x:c>
      <x:c r="S1" s="3" t="s">
        <x:v>46</x:v>
      </x:c>
      <x:c r="T1" s="3" t="s">
        <x:v>47</x:v>
      </x:c>
      <x:c r="U1" s="3" t="s">
        <x:v>48</x:v>
      </x:c>
      <x:c r="V1" s="3" t="s">
        <x:v>49</x:v>
      </x:c>
    </x:row>
    <x:row r="2" ht="44" customHeight="1">
      <x:c r="A2" s="3" t="s">
        <x:v>28</x:v>
      </x:c>
      <x:c r="B2" s="3" t="s">
        <x:v>29</x:v>
      </x:c>
      <x:c r="C2" s="3" t="s">
        <x:v>30</x:v>
      </x:c>
      <x:c r="D2" s="3" t="s">
        <x:v>31</x:v>
      </x:c>
      <x:c r="E2" s="3" t="s">
        <x:v>32</x:v>
      </x:c>
      <x:c r="F2" s="3" t="s">
        <x:v>33</x:v>
      </x:c>
      <x:c r="G2" s="3" t="s">
        <x:v>34</x:v>
      </x:c>
      <x:c r="H2" s="3" t="s">
        <x:v>35</x:v>
      </x:c>
      <x:c r="I2" s="3" t="s">
        <x:v>36</x:v>
      </x:c>
      <x:c r="J2" s="3" t="s">
        <x:v>37</x:v>
      </x:c>
      <x:c r="K2" s="3" t="s">
        <x:v>38</x:v>
      </x:c>
      <x:c r="L2" s="3" t="s">
        <x:v>39</x:v>
      </x:c>
      <x:c r="M2" s="3" t="s">
        <x:v>40</x:v>
      </x:c>
      <x:c r="N2" s="3" t="s">
        <x:v>41</x:v>
      </x:c>
      <x:c r="O2" s="3" t="s">
        <x:v>42</x:v>
      </x:c>
      <x:c r="P2" s="3" t="s">
        <x:v>43</x:v>
      </x:c>
      <x:c r="Q2" s="3" t="s">
        <x:v>44</x:v>
      </x:c>
      <x:c r="R2" s="3" t="s">
        <x:v>45</x:v>
      </x:c>
      <x:c r="S2" s="3" t="s">
        <x:v>46</x:v>
      </x:c>
      <x:c r="T2" s="3" t="s">
        <x:v>47</x:v>
      </x:c>
      <x:c r="U2" s="3" t="s">
        <x:v>48</x:v>
      </x:c>
      <x:c r="V2" s="3" t="s">
        <x:v>49</x:v>
      </x:c>
    </x:row>
    <x:row r="3" ht="44" customHeight="1">
      <x:c r="A3" s="3" t="s">
        <x:v>28</x:v>
      </x:c>
      <x:c r="B3" s="3" t="s">
        <x:v>29</x:v>
      </x:c>
      <x:c r="C3" s="3" t="s">
        <x:v>30</x:v>
      </x:c>
      <x:c r="D3" s="3" t="s">
        <x:v>31</x:v>
      </x:c>
      <x:c r="E3" s="3" t="s">
        <x:v>32</x:v>
      </x:c>
      <x:c r="F3" s="3" t="s">
        <x:v>33</x:v>
      </x:c>
      <x:c r="G3" s="3" t="s">
        <x:v>34</x:v>
      </x:c>
      <x:c r="H3" s="3" t="s">
        <x:v>35</x:v>
      </x:c>
      <x:c r="I3" s="3" t="s">
        <x:v>36</x:v>
      </x:c>
      <x:c r="J3" s="3" t="s">
        <x:v>37</x:v>
      </x:c>
      <x:c r="K3" s="3" t="s">
        <x:v>38</x:v>
      </x:c>
      <x:c r="L3" s="3" t="s">
        <x:v>39</x:v>
      </x:c>
      <x:c r="M3" s="3" t="s">
        <x:v>40</x:v>
      </x:c>
      <x:c r="N3" s="3" t="s">
        <x:v>41</x:v>
      </x:c>
      <x:c r="O3" s="3" t="s">
        <x:v>42</x:v>
      </x:c>
      <x:c r="P3" s="3" t="s">
        <x:v>43</x:v>
      </x:c>
      <x:c r="Q3" s="3" t="s">
        <x:v>44</x:v>
      </x:c>
      <x:c r="R3" s="3" t="s">
        <x:v>45</x:v>
      </x:c>
      <x:c r="S3" s="3" t="s">
        <x:v>46</x:v>
      </x:c>
      <x:c r="T3" s="3" t="s">
        <x:v>47</x:v>
      </x:c>
      <x:c r="U3" s="3" t="s">
        <x:v>48</x:v>
      </x:c>
      <x:c r="V3" s="3" t="s">
        <x:v>49</x:v>
      </x:c>
    </x:row>
    <x:row r="4" ht="44" customHeight="1">
      <x:c r="A4" s="9" t="s">
        <x:v>28</x:v>
      </x:c>
      <x:c r="B4" s="9" t="s">
        <x:v>29</x:v>
      </x:c>
      <x:c r="C4" s="9" t="s">
        <x:v>30</x:v>
      </x:c>
      <x:c r="D4" s="9" t="s">
        <x:v>31</x:v>
      </x:c>
      <x:c r="E4" s="9" t="s">
        <x:v>32</x:v>
      </x:c>
      <x:c r="F4" s="9" t="s">
        <x:v>33</x:v>
      </x:c>
      <x:c r="G4" s="9" t="s">
        <x:v>34</x:v>
      </x:c>
      <x:c r="H4" s="9" t="n">
        <x:f t="shared" ref="H4:Q4" si="0">SUM($H$5:$H$36)</x:f>
        <x:v>5</x:v>
      </x:c>
      <x:c r="I4" s="9">
        <x:f t="shared" si="0"/>
        <x:v>35</x:v>
      </x:c>
      <x:c r="J4" s="9">
        <x:f t="shared" si="0"/>
        <x:v>35</x:v>
      </x:c>
      <x:c r="K4" s="9">
        <x:f t="shared" si="0"/>
        <x:v>35</x:v>
      </x:c>
      <x:c r="L4" s="9">
        <x:f t="shared" si="0"/>
        <x:v>35</x:v>
      </x:c>
      <x:c r="M4" s="9">
        <x:f t="shared" si="0"/>
        <x:v>35</x:v>
      </x:c>
      <x:c r="N4" s="9">
        <x:f t="shared" si="0"/>
        <x:v>35</x:v>
      </x:c>
      <x:c r="O4" s="9">
        <x:f t="shared" si="0"/>
        <x:v>35</x:v>
      </x:c>
      <x:c r="P4" s="9">
        <x:f t="shared" si="0"/>
        <x:v>35</x:v>
      </x:c>
      <x:c r="Q4" s="9">
        <x:f t="shared" si="0"/>
        <x:v>35</x:v>
      </x:c>
      <x:c r="R4" s="9" t="n">
        <x:f>SUM($R$5:$R$36)</x:f>
        <x:v>15</x:v>
      </x:c>
      <x:c r="S4" s="9" t="n">
        <x:f>SUM($S$5:$S$36)</x:f>
        <x:v>1</x:v>
      </x:c>
      <x:c r="T4" s="9" t="n">
        <x:f>SUM($T$5:$T$36)</x:f>
        <x:v>5</x:v>
      </x:c>
      <x:c r="U4" s="9" t="n">
        <x:f>SUM($U$5:$U$36)</x:f>
        <x:v>0</x:v>
      </x:c>
      <x:c r="V4" s="9" t="s">
        <x:v>49</x:v>
      </x:c>
    </x:row>
    <x:row r="5" ht="44" customHeight="1">
      <x:c r="A5" s="20" t="s">
        <x:v>50</x:v>
      </x:c>
      <x:c r="B5" s="4" t="s">
        <x:v>51</x:v>
      </x:c>
      <x:c r="C5" s="4" t="s">
        <x:v>52</x:v>
      </x:c>
      <x:c r="D5" s="4" t="s">
        <x:v>53</x:v>
      </x:c>
      <x:c r="E5" s="4" t="s">
        <x:v>54</x:v>
      </x:c>
      <x:c r="F5" s="4" t="s">
        <x:v>55</x:v>
      </x:c>
      <x:c r="G5" s="4">
        <x:v>5</x:v>
      </x:c>
      <x:c r="H5" s="21" t="n">
        <x:v>0</x:v>
      </x:c>
      <x:c r="I5" s="4" t="s">
        <x:v>56</x:v>
      </x:c>
      <x:c r="J5" s="4" t="s">
        <x:v>57</x:v>
      </x:c>
      <x:c r="K5" s="4" t="s">
        <x:v>58</x:v>
      </x:c>
      <x:c r="L5" s="4" t="s">
        <x:v>59</x:v>
      </x:c>
      <x:c r="M5" s="4" t="str">
        <x:v>基本完成</x:v>
      </x:c>
      <x:c r="N5" s="4" t="s">
        <x:v>60</x:v>
      </x:c>
      <x:c r="O5" s="4" t="s">
        <x:v>61</x:v>
      </x:c>
      <x:c r="P5" s="21" t="n">
        <x:f t="shared" ref="P5:P36" si="1">IF($I5="Day1",$H5,0)</x:f>
        <x:v>0</x:v>
      </x:c>
      <x:c r="Q5" s="21" t="n">
        <x:f t="shared" ref="Q5:Q36" si="2">IF(OR($M5="已完成",$M5="基本完成"),$P5,0)</x:f>
        <x:v>0</x:v>
      </x:c>
      <x:c r="R5" s="21" t="n">
        <x:f t="shared" ref="R5:R36" si="3">IF($I5="Day2",$H5,0)</x:f>
        <x:v>0</x:v>
      </x:c>
      <x:c r="S5" s="21" t="n">
        <x:f t="shared" ref="S5:S36" si="4">IF($M5="已完成",$R5,IF($M5="基本完成",$R5*0.5,0))</x:f>
        <x:v>0</x:v>
      </x:c>
      <x:c r="T5" s="21" t="n">
        <x:f t="shared" ref="T5:T36" si="5">IF($I5="Day3",$H5,0)</x:f>
        <x:v>0</x:v>
      </x:c>
      <x:c r="U5" s="21" t="n">
        <x:f t="shared" ref="U5:U36" si="6">IF($M5="已完成",$T5,0)</x:f>
        <x:v>0</x:v>
      </x:c>
      <x:c r="V5" s="4" t="str">
        <x:f t="shared" ref="V5:V36" si="7">IF(M5="已完成","完成",IF(M5="基本完成","需验收",IF(M5="进行中","进行中",IF(M5="未开始","待执行","待执行"))))</x:f>
        <x:v>需验收</x:v>
      </x:c>
    </x:row>
    <x:row r="6" ht="44" customHeight="1">
      <x:c r="A6" s="20" t="s">
        <x:v>62</x:v>
      </x:c>
      <x:c r="B6" s="4" t="s">
        <x:v>51</x:v>
      </x:c>
      <x:c r="C6" s="4" t="s">
        <x:v>52</x:v>
      </x:c>
      <x:c r="D6" s="4" t="s">
        <x:v>63</x:v>
      </x:c>
      <x:c r="E6" s="4" t="s">
        <x:v>64</x:v>
      </x:c>
      <x:c r="F6" s="4" t="s">
        <x:v>55</x:v>
      </x:c>
      <x:c r="G6" s="4" t="s">
        <x:v>65</x:v>
      </x:c>
      <x:c r="H6" s="21" t="n">
        <x:v>0</x:v>
      </x:c>
      <x:c r="I6" s="4" t="s">
        <x:v>56</x:v>
      </x:c>
      <x:c r="J6" s="4" t="s">
        <x:v>50</x:v>
      </x:c>
      <x:c r="K6" s="4" t="s">
        <x:v>58</x:v>
      </x:c>
      <x:c r="L6" s="4" t="s">
        <x:v>66</x:v>
      </x:c>
      <x:c r="M6" s="4" t="str">
        <x:v>基本完成</x:v>
      </x:c>
      <x:c r="N6" s="4" t="s">
        <x:v>67</x:v>
      </x:c>
      <x:c r="O6" s="4" t="s">
        <x:v>68</x:v>
      </x:c>
      <x:c r="P6" s="21">
        <x:f t="shared" si="1"/>
        <x:v>1</x:v>
      </x:c>
      <x:c r="Q6" s="21">
        <x:f t="shared" si="2"/>
        <x:v>0</x:v>
      </x:c>
      <x:c r="R6" s="21">
        <x:f t="shared" si="3"/>
        <x:v>0</x:v>
      </x:c>
      <x:c r="S6" s="21">
        <x:f t="shared" si="4"/>
        <x:v>0</x:v>
      </x:c>
      <x:c r="T6" s="21">
        <x:f t="shared" si="5"/>
        <x:v>0</x:v>
      </x:c>
      <x:c r="U6" s="21">
        <x:f t="shared" si="6"/>
        <x:v>0</x:v>
      </x:c>
      <x:c r="V6" s="4" t="str">
        <x:f t="shared" si="7">IF(M6="已完成","完成",IF(M6="基本完成","需验收",IF(M6="进行中","进行中",IF(M6="未开始","待执行","待执行"))))</x:f>
        <x:v>需验收</x:v>
      </x:c>
    </x:row>
    <x:row r="7" ht="44" customHeight="1">
      <x:c r="A7" s="20" t="s">
        <x:v>69</x:v>
      </x:c>
      <x:c r="B7" s="4" t="s">
        <x:v>51</x:v>
      </x:c>
      <x:c r="C7" s="4" t="s">
        <x:v>52</x:v>
      </x:c>
      <x:c r="D7" s="4" t="s">
        <x:v>70</x:v>
      </x:c>
      <x:c r="E7" s="4" t="s">
        <x:v>71</x:v>
      </x:c>
      <x:c r="F7" s="4" t="s">
        <x:v>55</x:v>
      </x:c>
      <x:c r="G7" s="4" t="s">
        <x:v>65</x:v>
      </x:c>
      <x:c r="H7" s="21" t="n">
        <x:v>0</x:v>
      </x:c>
      <x:c r="I7" s="4" t="s">
        <x:v>56</x:v>
      </x:c>
      <x:c r="J7" s="4" t="s">
        <x:v>72</x:v>
      </x:c>
      <x:c r="K7" s="4" t="s">
        <x:v>58</x:v>
      </x:c>
      <x:c r="L7" s="4" t="s">
        <x:v>66</x:v>
      </x:c>
      <x:c r="M7" s="4" t="str">
        <x:v>基本完成</x:v>
      </x:c>
      <x:c r="N7" s="4" t="s">
        <x:v>73</x:v>
      </x:c>
      <x:c r="O7" s="4" t="s">
        <x:v>74</x:v>
      </x:c>
      <x:c r="P7" s="21">
        <x:f t="shared" si="1"/>
        <x:v>2</x:v>
      </x:c>
      <x:c r="Q7" s="21">
        <x:f t="shared" si="2"/>
        <x:v>0</x:v>
      </x:c>
      <x:c r="R7" s="21">
        <x:f t="shared" si="3"/>
        <x:v>0</x:v>
      </x:c>
      <x:c r="S7" s="21">
        <x:f t="shared" si="4"/>
        <x:v>0</x:v>
      </x:c>
      <x:c r="T7" s="21">
        <x:f t="shared" si="5"/>
        <x:v>0</x:v>
      </x:c>
      <x:c r="U7" s="21">
        <x:f t="shared" si="6"/>
        <x:v>0</x:v>
      </x:c>
      <x:c r="V7" s="4" t="str">
        <x:f t="shared" si="7">IF(M7="已完成","完成",IF(M7="基本完成","需验收",IF(M7="进行中","进行中",IF(M7="未开始","待执行","待执行"))))</x:f>
        <x:v>需验收</x:v>
      </x:c>
    </x:row>
    <x:row r="8" ht="44" customHeight="1">
      <x:c r="A8" s="20" t="s">
        <x:v>75</x:v>
      </x:c>
      <x:c r="B8" s="4" t="s">
        <x:v>51</x:v>
      </x:c>
      <x:c r="C8" s="4" t="s">
        <x:v>52</x:v>
      </x:c>
      <x:c r="D8" s="4" t="s">
        <x:v>76</x:v>
      </x:c>
      <x:c r="E8" s="4" t="s">
        <x:v>77</x:v>
      </x:c>
      <x:c r="F8" s="4" t="s">
        <x:v>55</x:v>
      </x:c>
      <x:c r="G8" s="4" t="s">
        <x:v>65</x:v>
      </x:c>
      <x:c r="H8" s="21" t="n">
        <x:v>0</x:v>
      </x:c>
      <x:c r="I8" s="4" t="s">
        <x:v>78</x:v>
      </x:c>
      <x:c r="J8" s="4" t="s">
        <x:v>79</x:v>
      </x:c>
      <x:c r="K8" s="4" t="s">
        <x:v>58</x:v>
      </x:c>
      <x:c r="L8" s="4" t="s">
        <x:v>59</x:v>
      </x:c>
      <x:c r="M8" s="4" t="str">
        <x:v>基本完成</x:v>
      </x:c>
      <x:c r="N8" s="4" t="s">
        <x:v>80</x:v>
      </x:c>
      <x:c r="O8" s="4" t="s">
        <x:v>81</x:v>
      </x:c>
      <x:c r="P8" s="21">
        <x:f t="shared" si="1"/>
        <x:v>0</x:v>
      </x:c>
      <x:c r="Q8" s="21">
        <x:f t="shared" si="2"/>
        <x:v>0</x:v>
      </x:c>
      <x:c r="R8" s="21">
        <x:f t="shared" si="3"/>
        <x:v>2</x:v>
      </x:c>
      <x:c r="S8" s="21">
        <x:f t="shared" si="4"/>
        <x:v>0</x:v>
      </x:c>
      <x:c r="T8" s="21">
        <x:f t="shared" si="5"/>
        <x:v>0</x:v>
      </x:c>
      <x:c r="U8" s="21">
        <x:f t="shared" si="6"/>
        <x:v>0</x:v>
      </x:c>
      <x:c r="V8" s="4" t="str">
        <x:f t="shared" si="7">IF(M8="已完成","完成",IF(M8="基本完成","需验收",IF(M8="进行中","进行中",IF(M8="未开始","待执行","待执行"))))</x:f>
        <x:v>需验收</x:v>
      </x:c>
    </x:row>
    <x:row r="9" ht="44" customHeight="1">
      <x:c r="A9" s="20" t="s">
        <x:v>82</x:v>
      </x:c>
      <x:c r="B9" s="4" t="s">
        <x:v>83</x:v>
      </x:c>
      <x:c r="C9" s="4" t="s">
        <x:v>84</x:v>
      </x:c>
      <x:c r="D9" s="4" t="s">
        <x:v>85</x:v>
      </x:c>
      <x:c r="E9" s="4" t="s">
        <x:v>86</x:v>
      </x:c>
      <x:c r="F9" s="4" t="s">
        <x:v>55</x:v>
      </x:c>
      <x:c r="G9" s="4">
        <x:v>3</x:v>
      </x:c>
      <x:c r="H9" s="21" t="n">
        <x:v>0</x:v>
      </x:c>
      <x:c r="I9" s="4" t="s">
        <x:v>78</x:v>
      </x:c>
      <x:c r="J9" s="4" t="s">
        <x:v>50</x:v>
      </x:c>
      <x:c r="K9" s="4" t="s">
        <x:v>58</x:v>
      </x:c>
      <x:c r="L9" s="4" t="s">
        <x:v>66</x:v>
      </x:c>
      <x:c r="M9" s="4" t="str">
        <x:v>基本完成</x:v>
      </x:c>
      <x:c r="N9" s="4" t="s">
        <x:v>87</x:v>
      </x:c>
      <x:c r="O9" s="4" t="s">
        <x:v>88</x:v>
      </x:c>
      <x:c r="P9" s="21">
        <x:f t="shared" si="1"/>
        <x:v>0</x:v>
      </x:c>
      <x:c r="Q9" s="21">
        <x:f t="shared" si="2"/>
        <x:v>0</x:v>
      </x:c>
      <x:c r="R9" s="21">
        <x:f t="shared" si="3"/>
        <x:v>3</x:v>
      </x:c>
      <x:c r="S9" s="21">
        <x:f t="shared" si="4"/>
        <x:v>0</x:v>
      </x:c>
      <x:c r="T9" s="21">
        <x:f t="shared" si="5"/>
        <x:v>0</x:v>
      </x:c>
      <x:c r="U9" s="21">
        <x:f t="shared" si="6"/>
        <x:v>0</x:v>
      </x:c>
      <x:c r="V9" s="4" t="str">
        <x:f t="shared" si="7">IF(M9="已完成","完成",IF(M9="基本完成","需验收",IF(M9="进行中","进行中",IF(M9="未开始","待执行","待执行"))))</x:f>
        <x:v>需验收</x:v>
      </x:c>
    </x:row>
    <x:row r="10" ht="44" customHeight="1">
      <x:c r="A10" s="20" t="s">
        <x:v>89</x:v>
      </x:c>
      <x:c r="B10" s="4" t="s">
        <x:v>90</x:v>
      </x:c>
      <x:c r="C10" s="4" t="s">
        <x:v>91</x:v>
      </x:c>
      <x:c r="D10" s="4" t="s">
        <x:v>92</x:v>
      </x:c>
      <x:c r="E10" s="4" t="s">
        <x:v>93</x:v>
      </x:c>
      <x:c r="F10" s="4" t="s">
        <x:v>55</x:v>
      </x:c>
      <x:c r="G10" s="4" t="s">
        <x:v>65</x:v>
      </x:c>
      <x:c r="H10" s="21" t="n">
        <x:v>0</x:v>
      </x:c>
      <x:c r="I10" s="4" t="s">
        <x:v>56</x:v>
      </x:c>
      <x:c r="J10" s="4" t="s">
        <x:v>94</x:v>
      </x:c>
      <x:c r="K10" s="4" t="s">
        <x:v>95</x:v>
      </x:c>
      <x:c r="L10" s="4" t="s">
        <x:v>96</x:v>
      </x:c>
      <x:c r="M10" s="4" t="str">
        <x:v>基本完成</x:v>
      </x:c>
      <x:c r="N10" s="4" t="s">
        <x:v>97</x:v>
      </x:c>
      <x:c r="O10" s="4" t="s">
        <x:v>98</x:v>
      </x:c>
      <x:c r="P10" s="21">
        <x:f t="shared" si="1"/>
        <x:v>3</x:v>
      </x:c>
      <x:c r="Q10" s="21">
        <x:f t="shared" si="2"/>
        <x:v>3</x:v>
      </x:c>
      <x:c r="R10" s="21">
        <x:f t="shared" si="3"/>
        <x:v>0</x:v>
      </x:c>
      <x:c r="S10" s="21">
        <x:f t="shared" si="4"/>
        <x:v>0</x:v>
      </x:c>
      <x:c r="T10" s="21">
        <x:f t="shared" si="5"/>
        <x:v>0</x:v>
      </x:c>
      <x:c r="U10" s="21">
        <x:f t="shared" si="6"/>
        <x:v>0</x:v>
      </x:c>
      <x:c r="V10" s="4" t="str">
        <x:f t="shared" si="7">IF(M10="已完成","完成",IF(M10="基本完成","需验收",IF(M10="进行中","进行中",IF(M10="未开始","待执行","待执行"))))</x:f>
        <x:v>需验收</x:v>
      </x:c>
    </x:row>
    <x:row r="11" ht="44" customHeight="1">
      <x:c r="A11" s="20" t="s">
        <x:v>99</x:v>
      </x:c>
      <x:c r="B11" s="4" t="s">
        <x:v>90</x:v>
      </x:c>
      <x:c r="C11" s="4" t="s">
        <x:v>91</x:v>
      </x:c>
      <x:c r="D11" s="4" t="s">
        <x:v>100</x:v>
      </x:c>
      <x:c r="E11" s="4" t="s">
        <x:v>101</x:v>
      </x:c>
      <x:c r="F11" s="4" t="s">
        <x:v>55</x:v>
      </x:c>
      <x:c r="G11" s="4">
        <x:v>5</x:v>
      </x:c>
      <x:c r="H11" s="21" t="n">
        <x:v>0</x:v>
      </x:c>
      <x:c r="I11" s="4" t="s">
        <x:v>56</x:v>
      </x:c>
      <x:c r="J11" s="4" t="s">
        <x:v>102</x:v>
      </x:c>
      <x:c r="K11" s="4" t="s">
        <x:v>95</x:v>
      </x:c>
      <x:c r="L11" s="4" t="s">
        <x:v>66</x:v>
      </x:c>
      <x:c r="M11" s="4" t="str">
        <x:v>基本完成</x:v>
      </x:c>
      <x:c r="N11" s="4" t="s">
        <x:v>103</x:v>
      </x:c>
      <x:c r="O11" s="4" t="s">
        <x:v>104</x:v>
      </x:c>
      <x:c r="P11" s="21">
        <x:f t="shared" si="1"/>
        <x:v>0</x:v>
      </x:c>
      <x:c r="Q11" s="21">
        <x:f t="shared" si="2"/>
        <x:v>0</x:v>
      </x:c>
      <x:c r="R11" s="21">
        <x:f t="shared" si="3"/>
        <x:v>0</x:v>
      </x:c>
      <x:c r="S11" s="21">
        <x:f t="shared" si="4"/>
        <x:v>0</x:v>
      </x:c>
      <x:c r="T11" s="21">
        <x:f t="shared" si="5"/>
        <x:v>0</x:v>
      </x:c>
      <x:c r="U11" s="21">
        <x:f t="shared" si="6"/>
        <x:v>0</x:v>
      </x:c>
      <x:c r="V11" s="4" t="str">
        <x:f t="shared" si="7">IF(M11="已完成","完成",IF(M11="基本完成","需验收",IF(M11="进行中","进行中",IF(M11="未开始","待执行","待执行"))))</x:f>
        <x:v>需验收</x:v>
      </x:c>
    </x:row>
    <x:row r="12" ht="44" customHeight="1">
      <x:c r="A12" s="20" t="s">
        <x:v>105</x:v>
      </x:c>
      <x:c r="B12" s="4" t="s">
        <x:v>90</x:v>
      </x:c>
      <x:c r="C12" s="4" t="s">
        <x:v>91</x:v>
      </x:c>
      <x:c r="D12" s="4" t="s">
        <x:v>106</x:v>
      </x:c>
      <x:c r="E12" s="4" t="s">
        <x:v>107</x:v>
      </x:c>
      <x:c r="F12" s="4" t="s">
        <x:v>55</x:v>
      </x:c>
      <x:c r="G12" s="4" t="s">
        <x:v>65</x:v>
      </x:c>
      <x:c r="H12" s="21" t="n">
        <x:v>0</x:v>
      </x:c>
      <x:c r="I12" s="4" t="s">
        <x:v>56</x:v>
      </x:c>
      <x:c r="J12" s="4" t="s">
        <x:v>89</x:v>
      </x:c>
      <x:c r="K12" s="4" t="s">
        <x:v>108</x:v>
      </x:c>
      <x:c r="L12" s="4" t="s">
        <x:v>59</x:v>
      </x:c>
      <x:c r="M12" s="4" t="str">
        <x:v>基本完成</x:v>
      </x:c>
      <x:c r="N12" s="4" t="s">
        <x:v>109</x:v>
      </x:c>
      <x:c r="O12" s="4" t="s">
        <x:v>110</x:v>
      </x:c>
      <x:c r="P12" s="21">
        <x:f t="shared" si="1"/>
        <x:v>0</x:v>
      </x:c>
      <x:c r="Q12" s="21">
        <x:f t="shared" si="2"/>
        <x:v>0</x:v>
      </x:c>
      <x:c r="R12" s="21">
        <x:f t="shared" si="3"/>
        <x:v>0</x:v>
      </x:c>
      <x:c r="S12" s="21">
        <x:f t="shared" si="4"/>
        <x:v>0</x:v>
      </x:c>
      <x:c r="T12" s="21">
        <x:f t="shared" si="5"/>
        <x:v>0</x:v>
      </x:c>
      <x:c r="U12" s="21">
        <x:f t="shared" si="6"/>
        <x:v>0</x:v>
      </x:c>
      <x:c r="V12" s="4" t="str">
        <x:f t="shared" si="7">IF(M12="已完成","完成",IF(M12="基本完成","需验收",IF(M12="进行中","进行中",IF(M12="未开始","待执行","待执行"))))</x:f>
        <x:v>需验收</x:v>
      </x:c>
    </x:row>
    <x:row r="13" ht="44" customHeight="1">
      <x:c r="A13" s="20" t="s">
        <x:v>111</x:v>
      </x:c>
      <x:c r="B13" s="4" t="s">
        <x:v>90</x:v>
      </x:c>
      <x:c r="C13" s="4" t="s">
        <x:v>91</x:v>
      </x:c>
      <x:c r="D13" s="4" t="s">
        <x:v>112</x:v>
      </x:c>
      <x:c r="E13" s="4" t="s">
        <x:v>113</x:v>
      </x:c>
      <x:c r="F13" s="4" t="s">
        <x:v>55</x:v>
      </x:c>
      <x:c r="G13" s="4" t="s">
        <x:v>65</x:v>
      </x:c>
      <x:c r="H13" s="21" t="n">
        <x:v>0</x:v>
      </x:c>
      <x:c r="I13" s="4" t="s">
        <x:v>78</x:v>
      </x:c>
      <x:c r="J13" s="4" t="s">
        <x:v>114</x:v>
      </x:c>
      <x:c r="K13" s="4" t="s">
        <x:v>95</x:v>
      </x:c>
      <x:c r="L13" s="4" t="s">
        <x:v>66</x:v>
      </x:c>
      <x:c r="M13" s="4" t="str">
        <x:v>基本完成</x:v>
      </x:c>
      <x:c r="N13" s="4" t="s">
        <x:v>115</x:v>
      </x:c>
      <x:c r="O13" s="4" t="s">
        <x:v>116</x:v>
      </x:c>
      <x:c r="P13" s="21">
        <x:f t="shared" si="1"/>
        <x:v>0</x:v>
      </x:c>
      <x:c r="Q13" s="21">
        <x:f t="shared" si="2"/>
        <x:v>0</x:v>
      </x:c>
      <x:c r="R13" s="21">
        <x:f t="shared" si="3"/>
        <x:v>0</x:v>
      </x:c>
      <x:c r="S13" s="21">
        <x:f t="shared" si="4"/>
        <x:v>0</x:v>
      </x:c>
      <x:c r="T13" s="21">
        <x:f t="shared" si="5"/>
        <x:v>0</x:v>
      </x:c>
      <x:c r="U13" s="21">
        <x:f t="shared" si="6"/>
        <x:v>0</x:v>
      </x:c>
      <x:c r="V13" s="4" t="str">
        <x:f t="shared" si="7">IF(M13="已完成","完成",IF(M13="基本完成","需验收",IF(M13="进行中","进行中",IF(M13="未开始","待执行","待执行"))))</x:f>
        <x:v>需验收</x:v>
      </x:c>
    </x:row>
    <x:row r="14" ht="44" customHeight="1">
      <x:c r="A14" s="20" t="s">
        <x:v>117</x:v>
      </x:c>
      <x:c r="B14" s="4" t="s">
        <x:v>90</x:v>
      </x:c>
      <x:c r="C14" s="4" t="s">
        <x:v>91</x:v>
      </x:c>
      <x:c r="D14" s="4" t="s">
        <x:v>118</x:v>
      </x:c>
      <x:c r="E14" s="4" t="s">
        <x:v>119</x:v>
      </x:c>
      <x:c r="F14" s="4" t="s">
        <x:v>55</x:v>
      </x:c>
      <x:c r="G14" s="4" t="s">
        <x:v>65</x:v>
      </x:c>
      <x:c r="H14" s="21" t="n">
        <x:v>0</x:v>
      </x:c>
      <x:c r="I14" s="4" t="s">
        <x:v>78</x:v>
      </x:c>
      <x:c r="J14" s="4" t="s">
        <x:v>120</x:v>
      </x:c>
      <x:c r="K14" s="4" t="s">
        <x:v>121</x:v>
      </x:c>
      <x:c r="L14" s="4" t="s">
        <x:v>122</x:v>
      </x:c>
      <x:c r="M14" s="4" t="str">
        <x:v>基本完成</x:v>
      </x:c>
      <x:c r="N14" s="4" t="s">
        <x:v>123</x:v>
      </x:c>
      <x:c r="O14" s="4" t="s">
        <x:v>124</x:v>
      </x:c>
      <x:c r="P14" s="21">
        <x:f t="shared" si="1"/>
        <x:v>0</x:v>
      </x:c>
      <x:c r="Q14" s="21">
        <x:f t="shared" si="2"/>
        <x:v>0</x:v>
      </x:c>
      <x:c r="R14" s="21">
        <x:f t="shared" si="3"/>
        <x:v>2</x:v>
      </x:c>
      <x:c r="S14" s="21">
        <x:f t="shared" si="4"/>
        <x:v>0</x:v>
      </x:c>
      <x:c r="T14" s="21">
        <x:f t="shared" si="5"/>
        <x:v>0</x:v>
      </x:c>
      <x:c r="U14" s="21">
        <x:f t="shared" si="6"/>
        <x:v>0</x:v>
      </x:c>
      <x:c r="V14" s="4" t="str">
        <x:f t="shared" si="7">IF(M14="已完成","完成",IF(M14="基本完成","需验收",IF(M14="进行中","进行中",IF(M14="未开始","待执行","待执行"))))</x:f>
        <x:v>需验收</x:v>
      </x:c>
    </x:row>
    <x:row r="15" ht="44" customHeight="1">
      <x:c r="A15" s="20" t="s">
        <x:v>125</x:v>
      </x:c>
      <x:c r="B15" s="4" t="s">
        <x:v>126</x:v>
      </x:c>
      <x:c r="C15" s="4" t="s">
        <x:v>127</x:v>
      </x:c>
      <x:c r="D15" s="4" t="s">
        <x:v>128</x:v>
      </x:c>
      <x:c r="E15" s="4" t="s">
        <x:v>129</x:v>
      </x:c>
      <x:c r="F15" s="4" t="s">
        <x:v>55</x:v>
      </x:c>
      <x:c r="G15" s="4">
        <x:v>5</x:v>
      </x:c>
      <x:c r="H15" s="21" t="n">
        <x:v>0</x:v>
      </x:c>
      <x:c r="I15" s="4" t="s">
        <x:v>56</x:v>
      </x:c>
      <x:c r="J15" s="4" t="s">
        <x:v>130</x:v>
      </x:c>
      <x:c r="K15" s="4" t="s">
        <x:v>121</x:v>
      </x:c>
      <x:c r="L15" s="4" t="s">
        <x:v>66</x:v>
      </x:c>
      <x:c r="M15" s="4" t="str">
        <x:v>基本完成</x:v>
      </x:c>
      <x:c r="N15" s="4" t="s">
        <x:v>131</x:v>
      </x:c>
      <x:c r="O15" s="4" t="s">
        <x:v>132</x:v>
      </x:c>
      <x:c r="P15" s="21">
        <x:f t="shared" si="1"/>
        <x:v>0</x:v>
      </x:c>
      <x:c r="Q15" s="21">
        <x:f t="shared" si="2"/>
        <x:v>0</x:v>
      </x:c>
      <x:c r="R15" s="21">
        <x:f t="shared" si="3"/>
        <x:v>0</x:v>
      </x:c>
      <x:c r="S15" s="21">
        <x:f t="shared" si="4"/>
        <x:v>0</x:v>
      </x:c>
      <x:c r="T15" s="21">
        <x:f t="shared" si="5"/>
        <x:v>0</x:v>
      </x:c>
      <x:c r="U15" s="21">
        <x:f t="shared" si="6"/>
        <x:v>0</x:v>
      </x:c>
      <x:c r="V15" s="4" t="str">
        <x:f t="shared" si="7">IF(M15="已完成","完成",IF(M15="基本完成","需验收",IF(M15="进行中","进行中",IF(M15="未开始","待执行","待执行"))))</x:f>
        <x:v>需验收</x:v>
      </x:c>
    </x:row>
    <x:row r="16" ht="44" customHeight="1">
      <x:c r="A16" s="20" t="s">
        <x:v>133</x:v>
      </x:c>
      <x:c r="B16" s="4" t="s">
        <x:v>126</x:v>
      </x:c>
      <x:c r="C16" s="4" t="s">
        <x:v>127</x:v>
      </x:c>
      <x:c r="D16" s="4" t="s">
        <x:v>134</x:v>
      </x:c>
      <x:c r="E16" s="4" t="s">
        <x:v>135</x:v>
      </x:c>
      <x:c r="F16" s="4" t="s">
        <x:v>55</x:v>
      </x:c>
      <x:c r="G16" s="4" t="s">
        <x:v>65</x:v>
      </x:c>
      <x:c r="H16" s="21" t="n">
        <x:v>0</x:v>
      </x:c>
      <x:c r="I16" s="4" t="s">
        <x:v>78</x:v>
      </x:c>
      <x:c r="J16" s="4" t="s">
        <x:v>125</x:v>
      </x:c>
      <x:c r="K16" s="4" t="s">
        <x:v>121</x:v>
      </x:c>
      <x:c r="L16" s="4" t="s">
        <x:v>136</x:v>
      </x:c>
      <x:c r="M16" s="4" t="str">
        <x:v>基本完成</x:v>
      </x:c>
      <x:c r="N16" s="4" t="s">
        <x:v>137</x:v>
      </x:c>
      <x:c r="O16" s="4" t="s">
        <x:v>138</x:v>
      </x:c>
      <x:c r="P16" s="21">
        <x:f t="shared" si="1"/>
        <x:v>0</x:v>
      </x:c>
      <x:c r="Q16" s="21">
        <x:f t="shared" si="2"/>
        <x:v>0</x:v>
      </x:c>
      <x:c r="R16" s="21">
        <x:f t="shared" si="3"/>
        <x:v>1</x:v>
      </x:c>
      <x:c r="S16" s="21">
        <x:f t="shared" si="4"/>
        <x:v>0</x:v>
      </x:c>
      <x:c r="T16" s="21">
        <x:f t="shared" si="5"/>
        <x:v>0</x:v>
      </x:c>
      <x:c r="U16" s="21">
        <x:f t="shared" si="6"/>
        <x:v>0</x:v>
      </x:c>
      <x:c r="V16" s="4" t="str">
        <x:f t="shared" si="7">IF(M16="已完成","完成",IF(M16="基本完成","需验收",IF(M16="进行中","进行中",IF(M16="未开始","待执行","待执行"))))</x:f>
        <x:v>需验收</x:v>
      </x:c>
    </x:row>
    <x:row r="17" ht="44" customHeight="1">
      <x:c r="A17" s="20" t="s">
        <x:v>139</x:v>
      </x:c>
      <x:c r="B17" s="4" t="s">
        <x:v>140</x:v>
      </x:c>
      <x:c r="C17" s="4" t="s">
        <x:v>141</x:v>
      </x:c>
      <x:c r="D17" s="4" t="s">
        <x:v>142</x:v>
      </x:c>
      <x:c r="E17" s="4" t="s">
        <x:v>143</x:v>
      </x:c>
      <x:c r="F17" s="4" t="s">
        <x:v>55</x:v>
      </x:c>
      <x:c r="G17" s="4">
        <x:v>5</x:v>
      </x:c>
      <x:c r="H17" s="21" t="n">
        <x:v>0</x:v>
      </x:c>
      <x:c r="I17" s="4" t="s">
        <x:v>56</x:v>
      </x:c>
      <x:c r="J17" s="4" t="s">
        <x:v>144</x:v>
      </x:c>
      <x:c r="K17" s="4" t="s">
        <x:v>95</x:v>
      </x:c>
      <x:c r="L17" s="4" t="s">
        <x:v>66</x:v>
      </x:c>
      <x:c r="M17" s="4" t="str">
        <x:v>基本完成</x:v>
      </x:c>
      <x:c r="N17" s="4" t="s">
        <x:v>145</x:v>
      </x:c>
      <x:c r="O17" s="4" t="s">
        <x:v>146</x:v>
      </x:c>
      <x:c r="P17" s="21">
        <x:f t="shared" si="1"/>
        <x:v>0</x:v>
      </x:c>
      <x:c r="Q17" s="21">
        <x:f t="shared" si="2"/>
        <x:v>0</x:v>
      </x:c>
      <x:c r="R17" s="21">
        <x:f t="shared" si="3"/>
        <x:v>0</x:v>
      </x:c>
      <x:c r="S17" s="21">
        <x:f t="shared" si="4"/>
        <x:v>0</x:v>
      </x:c>
      <x:c r="T17" s="21">
        <x:f t="shared" si="5"/>
        <x:v>0</x:v>
      </x:c>
      <x:c r="U17" s="21">
        <x:f t="shared" si="6"/>
        <x:v>0</x:v>
      </x:c>
      <x:c r="V17" s="4" t="str">
        <x:f t="shared" si="7">IF(M17="已完成","完成",IF(M17="基本完成","需验收",IF(M17="进行中","进行中",IF(M17="未开始","待执行","待执行"))))</x:f>
        <x:v>需验收</x:v>
      </x:c>
    </x:row>
    <x:row r="18" ht="44" customHeight="1">
      <x:c r="A18" s="20" t="s">
        <x:v>147</x:v>
      </x:c>
      <x:c r="B18" s="4" t="s">
        <x:v>140</x:v>
      </x:c>
      <x:c r="C18" s="4" t="s">
        <x:v>141</x:v>
      </x:c>
      <x:c r="D18" s="4" t="s">
        <x:v>148</x:v>
      </x:c>
      <x:c r="E18" s="4" t="s">
        <x:v>149</x:v>
      </x:c>
      <x:c r="F18" s="4" t="s">
        <x:v>55</x:v>
      </x:c>
      <x:c r="G18" s="4" t="s">
        <x:v>65</x:v>
      </x:c>
      <x:c r="H18" s="21" t="n">
        <x:v>0</x:v>
      </x:c>
      <x:c r="I18" s="4" t="s">
        <x:v>56</x:v>
      </x:c>
      <x:c r="J18" s="4" t="s">
        <x:v>139</x:v>
      </x:c>
      <x:c r="K18" s="4" t="s">
        <x:v>95</x:v>
      </x:c>
      <x:c r="L18" s="4" t="s">
        <x:v>150</x:v>
      </x:c>
      <x:c r="M18" s="4" t="str">
        <x:v>基本完成</x:v>
      </x:c>
      <x:c r="N18" s="4" t="s">
        <x:v>151</x:v>
      </x:c>
      <x:c r="O18" s="4" t="s">
        <x:v>152</x:v>
      </x:c>
      <x:c r="P18" s="21">
        <x:f t="shared" si="1"/>
        <x:v>0</x:v>
      </x:c>
      <x:c r="Q18" s="21">
        <x:f t="shared" si="2"/>
        <x:v>0</x:v>
      </x:c>
      <x:c r="R18" s="21">
        <x:f t="shared" si="3"/>
        <x:v>0</x:v>
      </x:c>
      <x:c r="S18" s="21">
        <x:f t="shared" si="4"/>
        <x:v>0</x:v>
      </x:c>
      <x:c r="T18" s="21">
        <x:f t="shared" si="5"/>
        <x:v>0</x:v>
      </x:c>
      <x:c r="U18" s="21">
        <x:f t="shared" si="6"/>
        <x:v>0</x:v>
      </x:c>
      <x:c r="V18" s="4" t="str">
        <x:f t="shared" si="7">IF(M18="已完成","完成",IF(M18="基本完成","需验收",IF(M18="进行中","进行中",IF(M18="未开始","待执行","待执行"))))</x:f>
        <x:v>需验收</x:v>
      </x:c>
    </x:row>
    <x:row r="19" ht="44" customHeight="1">
      <x:c r="A19" s="20" t="s">
        <x:v>153</x:v>
      </x:c>
      <x:c r="B19" s="4" t="s">
        <x:v>140</x:v>
      </x:c>
      <x:c r="C19" s="4" t="s">
        <x:v>141</x:v>
      </x:c>
      <x:c r="D19" s="4" t="s">
        <x:v>154</x:v>
      </x:c>
      <x:c r="E19" s="4" t="s">
        <x:v>155</x:v>
      </x:c>
      <x:c r="F19" s="4" t="s">
        <x:v>55</x:v>
      </x:c>
      <x:c r="G19" s="4" t="s">
        <x:v>65</x:v>
      </x:c>
      <x:c r="H19" s="21" t="n">
        <x:v>0</x:v>
      </x:c>
      <x:c r="I19" s="4" t="s">
        <x:v>56</x:v>
      </x:c>
      <x:c r="J19" s="4" t="s">
        <x:v>156</x:v>
      </x:c>
      <x:c r="K19" s="4" t="s">
        <x:v>121</x:v>
      </x:c>
      <x:c r="L19" s="4" t="s">
        <x:v>157</x:v>
      </x:c>
      <x:c r="M19" s="4" t="str">
        <x:v>基本完成</x:v>
      </x:c>
      <x:c r="N19" s="4" t="s">
        <x:v>158</x:v>
      </x:c>
      <x:c r="O19" s="4" t="s">
        <x:v>159</x:v>
      </x:c>
      <x:c r="P19" s="21">
        <x:f t="shared" si="1"/>
        <x:v>0</x:v>
      </x:c>
      <x:c r="Q19" s="21">
        <x:f t="shared" si="2"/>
        <x:v>0</x:v>
      </x:c>
      <x:c r="R19" s="21">
        <x:f t="shared" si="3"/>
        <x:v>0</x:v>
      </x:c>
      <x:c r="S19" s="21">
        <x:f t="shared" si="4"/>
        <x:v>0</x:v>
      </x:c>
      <x:c r="T19" s="21">
        <x:f t="shared" si="5"/>
        <x:v>0</x:v>
      </x:c>
      <x:c r="U19" s="21">
        <x:f t="shared" si="6"/>
        <x:v>0</x:v>
      </x:c>
      <x:c r="V19" s="4" t="str">
        <x:f t="shared" si="7">IF(M19="已完成","完成",IF(M19="基本完成","需验收",IF(M19="进行中","进行中",IF(M19="未开始","待执行","待执行"))))</x:f>
        <x:v>需验收</x:v>
      </x:c>
    </x:row>
    <x:row r="20" ht="44" customHeight="1">
      <x:c r="A20" s="20" t="s">
        <x:v>160</x:v>
      </x:c>
      <x:c r="B20" s="4" t="s">
        <x:v>140</x:v>
      </x:c>
      <x:c r="C20" s="4" t="s">
        <x:v>141</x:v>
      </x:c>
      <x:c r="D20" s="4" t="s">
        <x:v>161</x:v>
      </x:c>
      <x:c r="E20" s="4" t="s">
        <x:v>162</x:v>
      </x:c>
      <x:c r="F20" s="4" t="s">
        <x:v>55</x:v>
      </x:c>
      <x:c r="G20" s="4" t="s">
        <x:v>65</x:v>
      </x:c>
      <x:c r="H20" s="21" t="n">
        <x:v>0</x:v>
      </x:c>
      <x:c r="I20" s="4" t="s">
        <x:v>78</x:v>
      </x:c>
      <x:c r="J20" s="4" t="s">
        <x:v>163</x:v>
      </x:c>
      <x:c r="K20" s="4" t="s">
        <x:v>95</x:v>
      </x:c>
      <x:c r="L20" s="4" t="s">
        <x:v>164</x:v>
      </x:c>
      <x:c r="M20" s="4" t="str">
        <x:v>基本完成</x:v>
      </x:c>
      <x:c r="N20" s="4" t="s">
        <x:v>165</x:v>
      </x:c>
      <x:c r="O20" s="4" t="s">
        <x:v>166</x:v>
      </x:c>
      <x:c r="P20" s="21">
        <x:f t="shared" si="1"/>
        <x:v>0</x:v>
      </x:c>
      <x:c r="Q20" s="21">
        <x:f t="shared" si="2"/>
        <x:v>0</x:v>
      </x:c>
      <x:c r="R20" s="21">
        <x:f t="shared" si="3"/>
        <x:v>0</x:v>
      </x:c>
      <x:c r="S20" s="21">
        <x:f t="shared" si="4"/>
        <x:v>0</x:v>
      </x:c>
      <x:c r="T20" s="21">
        <x:f t="shared" si="5"/>
        <x:v>0</x:v>
      </x:c>
      <x:c r="U20" s="21">
        <x:f t="shared" si="6"/>
        <x:v>0</x:v>
      </x:c>
      <x:c r="V20" s="4" t="str">
        <x:f t="shared" si="7">IF(M20="已完成","完成",IF(M20="基本完成","需验收",IF(M20="进行中","进行中",IF(M20="未开始","待执行","待执行"))))</x:f>
        <x:v>需验收</x:v>
      </x:c>
    </x:row>
    <x:row r="21" ht="44" customHeight="1">
      <x:c r="A21" s="20" t="s">
        <x:v>167</x:v>
      </x:c>
      <x:c r="B21" s="4" t="s">
        <x:v>168</x:v>
      </x:c>
      <x:c r="C21" s="4" t="s">
        <x:v>169</x:v>
      </x:c>
      <x:c r="D21" s="4" t="s">
        <x:v>170</x:v>
      </x:c>
      <x:c r="E21" s="4" t="s">
        <x:v>171</x:v>
      </x:c>
      <x:c r="F21" s="4" t="s">
        <x:v>55</x:v>
      </x:c>
      <x:c r="G21" s="4">
        <x:v>5</x:v>
      </x:c>
      <x:c r="H21" s="21" t="n">
        <x:v>0</x:v>
      </x:c>
      <x:c r="I21" s="4" t="s">
        <x:v>78</x:v>
      </x:c>
      <x:c r="J21" s="4" t="s">
        <x:v>172</x:v>
      </x:c>
      <x:c r="K21" s="4" t="s">
        <x:v>95</x:v>
      </x:c>
      <x:c r="L21" s="4" t="s">
        <x:v>150</x:v>
      </x:c>
      <x:c r="M21" s="4" t="str">
        <x:v>基本完成</x:v>
      </x:c>
      <x:c r="N21" s="4" t="s">
        <x:v>173</x:v>
      </x:c>
      <x:c r="O21" s="4" t="s">
        <x:v>174</x:v>
      </x:c>
      <x:c r="P21" s="21">
        <x:f t="shared" si="1"/>
        <x:v>0</x:v>
      </x:c>
      <x:c r="Q21" s="21">
        <x:f t="shared" si="2"/>
        <x:v>0</x:v>
      </x:c>
      <x:c r="R21" s="21">
        <x:f t="shared" si="3"/>
        <x:v>0</x:v>
      </x:c>
      <x:c r="S21" s="21">
        <x:f t="shared" si="4"/>
        <x:v>0</x:v>
      </x:c>
      <x:c r="T21" s="21">
        <x:f t="shared" si="5"/>
        <x:v>0</x:v>
      </x:c>
      <x:c r="U21" s="21">
        <x:f t="shared" si="6"/>
        <x:v>0</x:v>
      </x:c>
      <x:c r="V21" s="4" t="str">
        <x:f t="shared" si="7">IF(M21="已完成","完成",IF(M21="基本完成","需验收",IF(M21="进行中","进行中",IF(M21="未开始","待执行","待执行"))))</x:f>
        <x:v>需验收</x:v>
      </x:c>
    </x:row>
    <x:row r="22" ht="44" customHeight="1">
      <x:c r="A22" s="20" t="s">
        <x:v>175</x:v>
      </x:c>
      <x:c r="B22" s="4" t="s">
        <x:v>168</x:v>
      </x:c>
      <x:c r="C22" s="4" t="s">
        <x:v>169</x:v>
      </x:c>
      <x:c r="D22" s="4" t="s">
        <x:v>176</x:v>
      </x:c>
      <x:c r="E22" s="4" t="s">
        <x:v>177</x:v>
      </x:c>
      <x:c r="F22" s="4" t="s">
        <x:v>55</x:v>
      </x:c>
      <x:c r="G22" s="4" t="s">
        <x:v>65</x:v>
      </x:c>
      <x:c r="H22" s="21" t="n">
        <x:v>0</x:v>
      </x:c>
      <x:c r="I22" s="4" t="s">
        <x:v>78</x:v>
      </x:c>
      <x:c r="J22" s="4" t="s">
        <x:v>178</x:v>
      </x:c>
      <x:c r="K22" s="4" t="s">
        <x:v>121</x:v>
      </x:c>
      <x:c r="L22" s="4" t="s">
        <x:v>136</x:v>
      </x:c>
      <x:c r="M22" s="4" t="str">
        <x:v>基本完成</x:v>
      </x:c>
      <x:c r="N22" s="4" t="s">
        <x:v>179</x:v>
      </x:c>
      <x:c r="O22" s="4" t="s">
        <x:v>180</x:v>
      </x:c>
      <x:c r="P22" s="21">
        <x:f t="shared" si="1"/>
        <x:v>0</x:v>
      </x:c>
      <x:c r="Q22" s="21">
        <x:f t="shared" si="2"/>
        <x:v>0</x:v>
      </x:c>
      <x:c r="R22" s="21">
        <x:f t="shared" si="3"/>
        <x:v>1</x:v>
      </x:c>
      <x:c r="S22" s="21">
        <x:f t="shared" si="4"/>
        <x:v>0</x:v>
      </x:c>
      <x:c r="T22" s="21">
        <x:f t="shared" si="5"/>
        <x:v>0</x:v>
      </x:c>
      <x:c r="U22" s="21">
        <x:f t="shared" si="6"/>
        <x:v>0</x:v>
      </x:c>
      <x:c r="V22" s="4" t="str">
        <x:f t="shared" si="7">IF(M22="已完成","完成",IF(M22="基本完成","需验收",IF(M22="进行中","进行中",IF(M22="未开始","待执行","待执行"))))</x:f>
        <x:v>需验收</x:v>
      </x:c>
    </x:row>
    <x:row r="23" ht="44" customHeight="1">
      <x:c r="A23" s="20" t="s">
        <x:v>181</x:v>
      </x:c>
      <x:c r="B23" s="4" t="s">
        <x:v>182</x:v>
      </x:c>
      <x:c r="C23" s="4" t="s">
        <x:v>183</x:v>
      </x:c>
      <x:c r="D23" s="4" t="s">
        <x:v>184</x:v>
      </x:c>
      <x:c r="E23" s="4" t="s">
        <x:v>185</x:v>
      </x:c>
      <x:c r="F23" s="4" t="s">
        <x:v>55</x:v>
      </x:c>
      <x:c r="G23" s="4">
        <x:v>5</x:v>
      </x:c>
      <x:c r="H23" s="21" t="n">
        <x:v>0</x:v>
      </x:c>
      <x:c r="I23" s="4" t="s">
        <x:v>56</x:v>
      </x:c>
      <x:c r="J23" s="4" t="s">
        <x:v>186</x:v>
      </x:c>
      <x:c r="K23" s="4" t="s">
        <x:v>108</x:v>
      </x:c>
      <x:c r="L23" s="4" t="s">
        <x:v>59</x:v>
      </x:c>
      <x:c r="M23" s="4" t="str">
        <x:v>基本完成</x:v>
      </x:c>
      <x:c r="N23" s="4" t="s">
        <x:v>187</x:v>
      </x:c>
      <x:c r="O23" s="4" t="s">
        <x:v>188</x:v>
      </x:c>
      <x:c r="P23" s="21">
        <x:f t="shared" si="1"/>
        <x:v>0</x:v>
      </x:c>
      <x:c r="Q23" s="21">
        <x:f t="shared" si="2"/>
        <x:v>0</x:v>
      </x:c>
      <x:c r="R23" s="21">
        <x:f t="shared" si="3"/>
        <x:v>0</x:v>
      </x:c>
      <x:c r="S23" s="21">
        <x:f t="shared" si="4"/>
        <x:v>0</x:v>
      </x:c>
      <x:c r="T23" s="21">
        <x:f t="shared" si="5"/>
        <x:v>0</x:v>
      </x:c>
      <x:c r="U23" s="21">
        <x:f t="shared" si="6"/>
        <x:v>0</x:v>
      </x:c>
      <x:c r="V23" s="4" t="str">
        <x:f t="shared" si="7">IF(M23="已完成","完成",IF(M23="基本完成","需验收",IF(M23="进行中","进行中",IF(M23="未开始","待执行","待执行"))))</x:f>
        <x:v>需验收</x:v>
      </x:c>
    </x:row>
    <x:row r="24" ht="44" customHeight="1">
      <x:c r="A24" s="20" t="s">
        <x:v>189</x:v>
      </x:c>
      <x:c r="B24" s="4" t="s">
        <x:v>182</x:v>
      </x:c>
      <x:c r="C24" s="4" t="s">
        <x:v>183</x:v>
      </x:c>
      <x:c r="D24" s="4" t="s">
        <x:v>190</x:v>
      </x:c>
      <x:c r="E24" s="4" t="s">
        <x:v>191</x:v>
      </x:c>
      <x:c r="F24" s="4" t="s">
        <x:v>55</x:v>
      </x:c>
      <x:c r="G24" s="4" t="s">
        <x:v>65</x:v>
      </x:c>
      <x:c r="H24" s="21" t="n">
        <x:v>0</x:v>
      </x:c>
      <x:c r="I24" s="4" t="s">
        <x:v>56</x:v>
      </x:c>
      <x:c r="J24" s="4" t="s">
        <x:v>181</x:v>
      </x:c>
      <x:c r="K24" s="4" t="s">
        <x:v>108</x:v>
      </x:c>
      <x:c r="L24" s="4" t="s">
        <x:v>164</x:v>
      </x:c>
      <x:c r="M24" s="4" t="str">
        <x:v>基本完成</x:v>
      </x:c>
      <x:c r="N24" s="4" t="s">
        <x:v>192</x:v>
      </x:c>
      <x:c r="O24" s="4" t="s">
        <x:v>193</x:v>
      </x:c>
      <x:c r="P24" s="21">
        <x:f t="shared" si="1"/>
        <x:v>0</x:v>
      </x:c>
      <x:c r="Q24" s="21">
        <x:f t="shared" si="2"/>
        <x:v>0</x:v>
      </x:c>
      <x:c r="R24" s="21">
        <x:f t="shared" si="3"/>
        <x:v>0</x:v>
      </x:c>
      <x:c r="S24" s="21">
        <x:f t="shared" si="4"/>
        <x:v>0</x:v>
      </x:c>
      <x:c r="T24" s="21">
        <x:f t="shared" si="5"/>
        <x:v>0</x:v>
      </x:c>
      <x:c r="U24" s="21">
        <x:f t="shared" si="6"/>
        <x:v>0</x:v>
      </x:c>
      <x:c r="V24" s="4" t="str">
        <x:f t="shared" si="7">IF(M24="已完成","完成",IF(M24="基本完成","需验收",IF(M24="进行中","进行中",IF(M24="未开始","待执行","待执行"))))</x:f>
        <x:v>需验收</x:v>
      </x:c>
    </x:row>
    <x:row r="25" ht="44" customHeight="1">
      <x:c r="A25" s="20" t="s">
        <x:v>194</x:v>
      </x:c>
      <x:c r="B25" s="4" t="s">
        <x:v>182</x:v>
      </x:c>
      <x:c r="C25" s="4" t="s">
        <x:v>183</x:v>
      </x:c>
      <x:c r="D25" s="4" t="s">
        <x:v>195</x:v>
      </x:c>
      <x:c r="E25" s="4" t="s">
        <x:v>196</x:v>
      </x:c>
      <x:c r="F25" s="4" t="s">
        <x:v>55</x:v>
      </x:c>
      <x:c r="G25" s="4" t="s">
        <x:v>65</x:v>
      </x:c>
      <x:c r="H25" s="21" t="n">
        <x:v>0</x:v>
      </x:c>
      <x:c r="I25" s="4" t="s">
        <x:v>78</x:v>
      </x:c>
      <x:c r="J25" s="4" t="s">
        <x:v>197</x:v>
      </x:c>
      <x:c r="K25" s="4" t="s">
        <x:v>108</x:v>
      </x:c>
      <x:c r="L25" s="4" t="s">
        <x:v>59</x:v>
      </x:c>
      <x:c r="M25" s="4" t="str">
        <x:v>基本完成</x:v>
      </x:c>
      <x:c r="N25" s="4" t="s">
        <x:v>198</x:v>
      </x:c>
      <x:c r="O25" s="4" t="s">
        <x:v>199</x:v>
      </x:c>
      <x:c r="P25" s="21">
        <x:f t="shared" si="1"/>
        <x:v>0</x:v>
      </x:c>
      <x:c r="Q25" s="21">
        <x:f t="shared" si="2"/>
        <x:v>0</x:v>
      </x:c>
      <x:c r="R25" s="21">
        <x:f t="shared" si="3"/>
        <x:v>0</x:v>
      </x:c>
      <x:c r="S25" s="21">
        <x:f t="shared" si="4"/>
        <x:v>0</x:v>
      </x:c>
      <x:c r="T25" s="21">
        <x:f t="shared" si="5"/>
        <x:v>0</x:v>
      </x:c>
      <x:c r="U25" s="21">
        <x:f t="shared" si="6"/>
        <x:v>0</x:v>
      </x:c>
      <x:c r="V25" s="4" t="str">
        <x:f t="shared" si="7">IF(M25="已完成","完成",IF(M25="基本完成","需验收",IF(M25="进行中","进行中",IF(M25="未开始","待执行","待执行"))))</x:f>
        <x:v>需验收</x:v>
      </x:c>
    </x:row>
    <x:row r="26" ht="44" customHeight="1">
      <x:c r="A26" s="20" t="s">
        <x:v>200</x:v>
      </x:c>
      <x:c r="B26" s="4" t="s">
        <x:v>182</x:v>
      </x:c>
      <x:c r="C26" s="4" t="s">
        <x:v>183</x:v>
      </x:c>
      <x:c r="D26" s="4" t="s">
        <x:v>201</x:v>
      </x:c>
      <x:c r="E26" s="4" t="s">
        <x:v>202</x:v>
      </x:c>
      <x:c r="F26" s="4" t="s">
        <x:v>55</x:v>
      </x:c>
      <x:c r="G26" s="4" t="s">
        <x:v>65</x:v>
      </x:c>
      <x:c r="H26" s="21" t="n">
        <x:v>0</x:v>
      </x:c>
      <x:c r="I26" s="4" t="s">
        <x:v>78</x:v>
      </x:c>
      <x:c r="J26" s="4" t="s">
        <x:v>194</x:v>
      </x:c>
      <x:c r="K26" s="4" t="s">
        <x:v>108</x:v>
      </x:c>
      <x:c r="L26" s="4" t="s">
        <x:v>150</x:v>
      </x:c>
      <x:c r="M26" s="4" t="str">
        <x:v>基本完成</x:v>
      </x:c>
      <x:c r="N26" s="4" t="s">
        <x:v>203</x:v>
      </x:c>
      <x:c r="O26" s="4" t="s">
        <x:v>204</x:v>
      </x:c>
      <x:c r="P26" s="21">
        <x:f t="shared" si="1"/>
        <x:v>0</x:v>
      </x:c>
      <x:c r="Q26" s="21">
        <x:f t="shared" si="2"/>
        <x:v>0</x:v>
      </x:c>
      <x:c r="R26" s="21">
        <x:f t="shared" si="3"/>
        <x:v>0</x:v>
      </x:c>
      <x:c r="S26" s="21">
        <x:f t="shared" si="4"/>
        <x:v>0</x:v>
      </x:c>
      <x:c r="T26" s="21">
        <x:f t="shared" si="5"/>
        <x:v>0</x:v>
      </x:c>
      <x:c r="U26" s="21">
        <x:f t="shared" si="6"/>
        <x:v>0</x:v>
      </x:c>
      <x:c r="V26" s="4" t="str">
        <x:f t="shared" si="7">IF(M26="已完成","完成",IF(M26="基本完成","需验收",IF(M26="进行中","进行中",IF(M26="未开始","待执行","待执行"))))</x:f>
        <x:v>需验收</x:v>
      </x:c>
    </x:row>
    <x:row r="27" ht="44" customHeight="1">
      <x:c r="A27" s="20" t="s">
        <x:v>205</x:v>
      </x:c>
      <x:c r="B27" s="4" t="s">
        <x:v>182</x:v>
      </x:c>
      <x:c r="C27" s="4" t="s">
        <x:v>183</x:v>
      </x:c>
      <x:c r="D27" s="4" t="s">
        <x:v>206</x:v>
      </x:c>
      <x:c r="E27" s="4" t="s">
        <x:v>207</x:v>
      </x:c>
      <x:c r="F27" s="4" t="s">
        <x:v>55</x:v>
      </x:c>
      <x:c r="G27" s="4" t="s">
        <x:v>65</x:v>
      </x:c>
      <x:c r="H27" s="21" t="n">
        <x:v>0</x:v>
      </x:c>
      <x:c r="I27" s="4" t="s">
        <x:v>78</x:v>
      </x:c>
      <x:c r="J27" s="4" t="s">
        <x:v>208</x:v>
      </x:c>
      <x:c r="K27" s="4" t="s">
        <x:v>121</x:v>
      </x:c>
      <x:c r="L27" s="4" t="s">
        <x:v>209</x:v>
      </x:c>
      <x:c r="M27" s="4" t="str">
        <x:v>基本完成</x:v>
      </x:c>
      <x:c r="N27" s="4" t="s">
        <x:v>210</x:v>
      </x:c>
      <x:c r="O27" s="4" t="s">
        <x:v>211</x:v>
      </x:c>
      <x:c r="P27" s="21">
        <x:f t="shared" si="1"/>
        <x:v>0</x:v>
      </x:c>
      <x:c r="Q27" s="21">
        <x:f t="shared" si="2"/>
        <x:v>0</x:v>
      </x:c>
      <x:c r="R27" s="21">
        <x:f t="shared" si="3"/>
        <x:v>1</x:v>
      </x:c>
      <x:c r="S27" s="21">
        <x:f t="shared" si="4"/>
        <x:v>0</x:v>
      </x:c>
      <x:c r="T27" s="21">
        <x:f t="shared" si="5"/>
        <x:v>0</x:v>
      </x:c>
      <x:c r="U27" s="21">
        <x:f t="shared" si="6"/>
        <x:v>0</x:v>
      </x:c>
      <x:c r="V27" s="4" t="str">
        <x:f t="shared" si="7">IF(M27="已完成","完成",IF(M27="基本完成","需验收",IF(M27="进行中","进行中",IF(M27="未开始","待执行","待执行"))))</x:f>
        <x:v>需验收</x:v>
      </x:c>
    </x:row>
    <x:row r="28" ht="44" customHeight="1">
      <x:c r="A28" s="20" t="s">
        <x:v>212</x:v>
      </x:c>
      <x:c r="B28" s="4" t="s">
        <x:v>213</x:v>
      </x:c>
      <x:c r="C28" s="4" t="s">
        <x:v>214</x:v>
      </x:c>
      <x:c r="D28" s="4" t="s">
        <x:v>215</x:v>
      </x:c>
      <x:c r="E28" s="4" t="s">
        <x:v>216</x:v>
      </x:c>
      <x:c r="F28" s="4" t="s">
        <x:v>55</x:v>
      </x:c>
      <x:c r="G28" s="4">
        <x:v>3</x:v>
      </x:c>
      <x:c r="H28" s="21" t="n">
        <x:v>2</x:v>
      </x:c>
      <x:c r="I28" s="4" t="s">
        <x:v>217</x:v>
      </x:c>
      <x:c r="J28" s="4" t="s">
        <x:v>218</x:v>
      </x:c>
      <x:c r="K28" s="4" t="s">
        <x:v>108</x:v>
      </x:c>
      <x:c r="L28" s="4" t="s">
        <x:v>219</x:v>
      </x:c>
      <x:c r="M28" s="4" t="str">
        <x:v>未开始</x:v>
      </x:c>
      <x:c r="N28" s="4" t="s">
        <x:v>220</x:v>
      </x:c>
      <x:c r="O28" s="4" t="s">
        <x:v>221</x:v>
      </x:c>
      <x:c r="P28" s="21">
        <x:f t="shared" si="1"/>
        <x:v>0</x:v>
      </x:c>
      <x:c r="Q28" s="21">
        <x:f t="shared" si="2"/>
        <x:v>0</x:v>
      </x:c>
      <x:c r="R28" s="21">
        <x:f t="shared" si="3"/>
        <x:v>0</x:v>
      </x:c>
      <x:c r="S28" s="21">
        <x:f t="shared" si="4"/>
        <x:v>0</x:v>
      </x:c>
      <x:c r="T28" s="21">
        <x:f t="shared" si="5"/>
        <x:v>2</x:v>
      </x:c>
      <x:c r="U28" s="21">
        <x:f t="shared" si="6"/>
        <x:v>0</x:v>
      </x:c>
      <x:c r="V28" s="4" t="str">
        <x:f t="shared" si="7">IF(M28="已完成","完成",IF(M28="基本完成","需验收",IF(M28="进行中","进行中",IF(M28="未开始","待执行","待执行"))))</x:f>
        <x:v>待执行</x:v>
      </x:c>
    </x:row>
    <x:row r="29" ht="44" customHeight="1">
      <x:c r="A29" s="20" t="s">
        <x:v>222</x:v>
      </x:c>
      <x:c r="B29" s="4" t="s">
        <x:v>223</x:v>
      </x:c>
      <x:c r="C29" s="4" t="s">
        <x:v>224</x:v>
      </x:c>
      <x:c r="D29" s="4" t="s">
        <x:v>225</x:v>
      </x:c>
      <x:c r="E29" s="4" t="s">
        <x:v>226</x:v>
      </x:c>
      <x:c r="F29" s="4" t="s">
        <x:v>55</x:v>
      </x:c>
      <x:c r="G29" s="4">
        <x:v>5</x:v>
      </x:c>
      <x:c r="H29" s="21" t="n">
        <x:v>0</x:v>
      </x:c>
      <x:c r="I29" s="4" t="s">
        <x:v>56</x:v>
      </x:c>
      <x:c r="J29" s="4" t="s">
        <x:v>227</x:v>
      </x:c>
      <x:c r="K29" s="4" t="s">
        <x:v>121</x:v>
      </x:c>
      <x:c r="L29" s="4" t="s">
        <x:v>228</x:v>
      </x:c>
      <x:c r="M29" s="4" t="str">
        <x:v>基本完成</x:v>
      </x:c>
      <x:c r="N29" s="4" t="s">
        <x:v>229</x:v>
      </x:c>
      <x:c r="O29" s="4" t="s">
        <x:v>230</x:v>
      </x:c>
      <x:c r="P29" s="21">
        <x:f t="shared" si="1"/>
        <x:v>3</x:v>
      </x:c>
      <x:c r="Q29" s="21">
        <x:f t="shared" si="2"/>
        <x:v>0</x:v>
      </x:c>
      <x:c r="R29" s="21">
        <x:f t="shared" si="3"/>
        <x:v>0</x:v>
      </x:c>
      <x:c r="S29" s="21">
        <x:f t="shared" si="4"/>
        <x:v>0</x:v>
      </x:c>
      <x:c r="T29" s="21">
        <x:f t="shared" si="5"/>
        <x:v>0</x:v>
      </x:c>
      <x:c r="U29" s="21">
        <x:f t="shared" si="6"/>
        <x:v>0</x:v>
      </x:c>
      <x:c r="V29" s="4" t="str">
        <x:f t="shared" si="7">IF(M29="已完成","完成",IF(M29="基本完成","需验收",IF(M29="进行中","进行中",IF(M29="未开始","待执行","待执行"))))</x:f>
        <x:v>需验收</x:v>
      </x:c>
    </x:row>
    <x:row r="30" ht="44" customHeight="1">
      <x:c r="A30" s="20" t="s">
        <x:v>231</x:v>
      </x:c>
      <x:c r="B30" s="4" t="s">
        <x:v>223</x:v>
      </x:c>
      <x:c r="C30" s="4" t="s">
        <x:v>232</x:v>
      </x:c>
      <x:c r="D30" s="4" t="s">
        <x:v>233</x:v>
      </x:c>
      <x:c r="E30" s="4" t="s">
        <x:v>234</x:v>
      </x:c>
      <x:c r="F30" s="4" t="s">
        <x:v>55</x:v>
      </x:c>
      <x:c r="G30" s="4" t="s">
        <x:v>65</x:v>
      </x:c>
      <x:c r="H30" s="21" t="n">
        <x:v>0</x:v>
      </x:c>
      <x:c r="I30" s="4" t="s">
        <x:v>56</x:v>
      </x:c>
      <x:c r="J30" s="4" t="s">
        <x:v>235</x:v>
      </x:c>
      <x:c r="K30" s="4" t="s">
        <x:v>121</x:v>
      </x:c>
      <x:c r="L30" s="4" t="s">
        <x:v>236</x:v>
      </x:c>
      <x:c r="M30" s="4" t="str">
        <x:v>基本完成</x:v>
      </x:c>
      <x:c r="N30" s="4" t="s">
        <x:v>237</x:v>
      </x:c>
      <x:c r="O30" s="4" t="s">
        <x:v>238</x:v>
      </x:c>
      <x:c r="P30" s="21">
        <x:f t="shared" si="1"/>
        <x:v>3</x:v>
      </x:c>
      <x:c r="Q30" s="21">
        <x:f t="shared" si="2"/>
        <x:v>0</x:v>
      </x:c>
      <x:c r="R30" s="21">
        <x:f t="shared" si="3"/>
        <x:v>0</x:v>
      </x:c>
      <x:c r="S30" s="21">
        <x:f t="shared" si="4"/>
        <x:v>0</x:v>
      </x:c>
      <x:c r="T30" s="21">
        <x:f t="shared" si="5"/>
        <x:v>0</x:v>
      </x:c>
      <x:c r="U30" s="21">
        <x:f t="shared" si="6"/>
        <x:v>0</x:v>
      </x:c>
      <x:c r="V30" s="4" t="str">
        <x:f t="shared" si="7">IF(M30="已完成","完成",IF(M30="基本完成","需验收",IF(M30="进行中","进行中",IF(M30="未开始","待执行","待执行"))))</x:f>
        <x:v>需验收</x:v>
      </x:c>
    </x:row>
    <x:row r="31" ht="44" customHeight="1">
      <x:c r="A31" s="20" t="s">
        <x:v>239</x:v>
      </x:c>
      <x:c r="B31" s="4" t="s">
        <x:v>223</x:v>
      </x:c>
      <x:c r="C31" s="4" t="s">
        <x:v>240</x:v>
      </x:c>
      <x:c r="D31" s="4" t="s">
        <x:v>241</x:v>
      </x:c>
      <x:c r="E31" s="4" t="s">
        <x:v>242</x:v>
      </x:c>
      <x:c r="F31" s="4" t="s">
        <x:v>55</x:v>
      </x:c>
      <x:c r="G31" s="4" t="s">
        <x:v>65</x:v>
      </x:c>
      <x:c r="H31" s="21" t="n">
        <x:v>0</x:v>
      </x:c>
      <x:c r="I31" s="4" t="s">
        <x:v>56</x:v>
      </x:c>
      <x:c r="J31" s="4" t="s">
        <x:v>231</x:v>
      </x:c>
      <x:c r="K31" s="4" t="s">
        <x:v>121</x:v>
      </x:c>
      <x:c r="L31" s="4" t="s">
        <x:v>66</x:v>
      </x:c>
      <x:c r="M31" s="4" t="str">
        <x:v>基本完成</x:v>
      </x:c>
      <x:c r="N31" s="4" t="s">
        <x:v>243</x:v>
      </x:c>
      <x:c r="O31" s="4" t="s">
        <x:v>244</x:v>
      </x:c>
      <x:c r="P31" s="21">
        <x:f t="shared" si="1"/>
        <x:v>0</x:v>
      </x:c>
      <x:c r="Q31" s="21">
        <x:f t="shared" si="2"/>
        <x:v>0</x:v>
      </x:c>
      <x:c r="R31" s="21">
        <x:f t="shared" si="3"/>
        <x:v>0</x:v>
      </x:c>
      <x:c r="S31" s="21">
        <x:f t="shared" si="4"/>
        <x:v>0</x:v>
      </x:c>
      <x:c r="T31" s="21">
        <x:f t="shared" si="5"/>
        <x:v>0</x:v>
      </x:c>
      <x:c r="U31" s="21">
        <x:f t="shared" si="6"/>
        <x:v>0</x:v>
      </x:c>
      <x:c r="V31" s="4" t="str">
        <x:f t="shared" si="7">IF(M31="已完成","完成",IF(M31="基本完成","需验收",IF(M31="进行中","进行中",IF(M31="未开始","待执行","待执行"))))</x:f>
        <x:v>需验收</x:v>
      </x:c>
    </x:row>
    <x:row r="32" ht="44" customHeight="1">
      <x:c r="A32" s="20" t="s">
        <x:v>245</x:v>
      </x:c>
      <x:c r="B32" s="4" t="s">
        <x:v>246</x:v>
      </x:c>
      <x:c r="C32" s="4" t="s">
        <x:v>247</x:v>
      </x:c>
      <x:c r="D32" s="4" t="s">
        <x:v>248</x:v>
      </x:c>
      <x:c r="E32" s="4" t="s">
        <x:v>249</x:v>
      </x:c>
      <x:c r="F32" s="4" t="s">
        <x:v>55</x:v>
      </x:c>
      <x:c r="G32" s="4">
        <x:v>5</x:v>
      </x:c>
      <x:c r="H32" s="21" t="n">
        <x:v>0</x:v>
      </x:c>
      <x:c r="I32" s="4" t="s">
        <x:v>56</x:v>
      </x:c>
      <x:c r="J32" s="4" t="s">
        <x:v>250</x:v>
      </x:c>
      <x:c r="K32" s="4" t="s">
        <x:v>95</x:v>
      </x:c>
      <x:c r="L32" s="4" t="s">
        <x:v>66</x:v>
      </x:c>
      <x:c r="M32" s="4" t="str">
        <x:v>基本完成</x:v>
      </x:c>
      <x:c r="N32" s="4" t="s">
        <x:v>251</x:v>
      </x:c>
      <x:c r="O32" s="4" t="s">
        <x:v>252</x:v>
      </x:c>
      <x:c r="P32" s="21">
        <x:f t="shared" si="1"/>
        <x:v>2</x:v>
      </x:c>
      <x:c r="Q32" s="21">
        <x:f t="shared" si="2"/>
        <x:v>0</x:v>
      </x:c>
      <x:c r="R32" s="21">
        <x:f t="shared" si="3"/>
        <x:v>0</x:v>
      </x:c>
      <x:c r="S32" s="21">
        <x:f t="shared" si="4"/>
        <x:v>0</x:v>
      </x:c>
      <x:c r="T32" s="21">
        <x:f t="shared" si="5"/>
        <x:v>0</x:v>
      </x:c>
      <x:c r="U32" s="21">
        <x:f t="shared" si="6"/>
        <x:v>0</x:v>
      </x:c>
      <x:c r="V32" s="4" t="str">
        <x:f t="shared" si="7">IF(M32="已完成","完成",IF(M32="基本完成","需验收",IF(M32="进行中","进行中",IF(M32="未开始","待执行","待执行"))))</x:f>
        <x:v>需验收</x:v>
      </x:c>
    </x:row>
    <x:row r="33" ht="44" customHeight="1">
      <x:c r="A33" s="20" t="s">
        <x:v>253</x:v>
      </x:c>
      <x:c r="B33" s="4" t="s">
        <x:v>246</x:v>
      </x:c>
      <x:c r="C33" s="4" t="s">
        <x:v>254</x:v>
      </x:c>
      <x:c r="D33" s="4" t="s">
        <x:v>255</x:v>
      </x:c>
      <x:c r="E33" s="4" t="s">
        <x:v>256</x:v>
      </x:c>
      <x:c r="F33" s="4" t="s">
        <x:v>55</x:v>
      </x:c>
      <x:c r="G33" s="4" t="s">
        <x:v>65</x:v>
      </x:c>
      <x:c r="H33" s="21" t="n">
        <x:v>0</x:v>
      </x:c>
      <x:c r="I33" s="4" t="s">
        <x:v>78</x:v>
      </x:c>
      <x:c r="J33" s="4" t="s">
        <x:v>69</x:v>
      </x:c>
      <x:c r="K33" s="4" t="s">
        <x:v>108</x:v>
      </x:c>
      <x:c r="L33" s="4" t="s">
        <x:v>164</x:v>
      </x:c>
      <x:c r="M33" s="4" t="str">
        <x:v>基本完成</x:v>
      </x:c>
      <x:c r="N33" s="4" t="s">
        <x:v>257</x:v>
      </x:c>
      <x:c r="O33" s="4" t="s">
        <x:v>74</x:v>
      </x:c>
      <x:c r="P33" s="21">
        <x:f t="shared" si="1"/>
        <x:v>0</x:v>
      </x:c>
      <x:c r="Q33" s="21">
        <x:f t="shared" si="2"/>
        <x:v>0</x:v>
      </x:c>
      <x:c r="R33" s="21">
        <x:f t="shared" si="3"/>
        <x:v>2</x:v>
      </x:c>
      <x:c r="S33" s="21">
        <x:f t="shared" si="4"/>
        <x:v>0</x:v>
      </x:c>
      <x:c r="T33" s="21">
        <x:f t="shared" si="5"/>
        <x:v>0</x:v>
      </x:c>
      <x:c r="U33" s="21">
        <x:f t="shared" si="6"/>
        <x:v>0</x:v>
      </x:c>
      <x:c r="V33" s="4" t="str">
        <x:f t="shared" si="7">IF(M33="已完成","完成",IF(M33="基本完成","需验收",IF(M33="进行中","进行中",IF(M33="未开始","待执行","待执行"))))</x:f>
        <x:v>需验收</x:v>
      </x:c>
    </x:row>
    <x:row r="34" ht="44" customHeight="1">
      <x:c r="A34" s="20" t="s">
        <x:v>258</x:v>
      </x:c>
      <x:c r="B34" s="4" t="s">
        <x:v>259</x:v>
      </x:c>
      <x:c r="C34" s="4" t="s">
        <x:v>260</x:v>
      </x:c>
      <x:c r="D34" s="4" t="s">
        <x:v>261</x:v>
      </x:c>
      <x:c r="E34" s="4" t="s">
        <x:v>262</x:v>
      </x:c>
      <x:c r="F34" s="4" t="s">
        <x:v>55</x:v>
      </x:c>
      <x:c r="G34" s="4">
        <x:v>5</x:v>
      </x:c>
      <x:c r="H34" s="21" t="n">
        <x:v>0</x:v>
      </x:c>
      <x:c r="I34" s="4" t="s">
        <x:v>78</x:v>
      </x:c>
      <x:c r="J34" s="4" t="s">
        <x:v>263</x:v>
      </x:c>
      <x:c r="K34" s="4" t="s">
        <x:v>95</x:v>
      </x:c>
      <x:c r="L34" s="4" t="s">
        <x:v>164</x:v>
      </x:c>
      <x:c r="M34" s="4" t="str">
        <x:v>基本完成</x:v>
      </x:c>
      <x:c r="N34" s="4" t="s">
        <x:v>264</x:v>
      </x:c>
      <x:c r="O34" s="4" t="s">
        <x:v>265</x:v>
      </x:c>
      <x:c r="P34" s="21">
        <x:f t="shared" si="1"/>
        <x:v>0</x:v>
      </x:c>
      <x:c r="Q34" s="21">
        <x:f t="shared" si="2"/>
        <x:v>0</x:v>
      </x:c>
      <x:c r="R34" s="21">
        <x:f t="shared" si="3"/>
        <x:v>2</x:v>
      </x:c>
      <x:c r="S34" s="21">
        <x:f t="shared" si="4"/>
        <x:v>0</x:v>
      </x:c>
      <x:c r="T34" s="21">
        <x:f t="shared" si="5"/>
        <x:v>0</x:v>
      </x:c>
      <x:c r="U34" s="21">
        <x:f t="shared" si="6"/>
        <x:v>0</x:v>
      </x:c>
      <x:c r="V34" s="4" t="str">
        <x:f t="shared" si="7">IF(M34="已完成","完成",IF(M34="基本完成","需验收",IF(M34="进行中","进行中",IF(M34="未开始","待执行","待执行"))))</x:f>
        <x:v>需验收</x:v>
      </x:c>
    </x:row>
    <x:row r="35" ht="44" customHeight="1">
      <x:c r="A35" s="20" t="s">
        <x:v>266</x:v>
      </x:c>
      <x:c r="B35" s="4" t="s">
        <x:v>259</x:v>
      </x:c>
      <x:c r="C35" s="4" t="s">
        <x:v>267</x:v>
      </x:c>
      <x:c r="D35" s="4" t="s">
        <x:v>268</x:v>
      </x:c>
      <x:c r="E35" s="4" t="s">
        <x:v>269</x:v>
      </x:c>
      <x:c r="F35" s="4" t="s">
        <x:v>55</x:v>
      </x:c>
      <x:c r="G35" s="4" t="s">
        <x:v>65</x:v>
      </x:c>
      <x:c r="H35" s="21" t="n">
        <x:v>0</x:v>
      </x:c>
      <x:c r="I35" s="4" t="s">
        <x:v>78</x:v>
      </x:c>
      <x:c r="J35" s="4" t="s">
        <x:v>258</x:v>
      </x:c>
      <x:c r="K35" s="4" t="s">
        <x:v>95</x:v>
      </x:c>
      <x:c r="L35" s="4" t="s">
        <x:v>66</x:v>
      </x:c>
      <x:c r="M35" s="4" t="str">
        <x:v>基本完成</x:v>
      </x:c>
      <x:c r="N35" s="4" t="s">
        <x:v>270</x:v>
      </x:c>
      <x:c r="O35" s="4" t="s">
        <x:v>271</x:v>
      </x:c>
      <x:c r="P35" s="21">
        <x:f t="shared" si="1"/>
        <x:v>0</x:v>
      </x:c>
      <x:c r="Q35" s="21">
        <x:f t="shared" si="2"/>
        <x:v>0</x:v>
      </x:c>
      <x:c r="R35" s="21">
        <x:f t="shared" si="3"/>
        <x:v>1</x:v>
      </x:c>
      <x:c r="S35" s="21">
        <x:f t="shared" si="4"/>
        <x:v>1</x:v>
      </x:c>
      <x:c r="T35" s="21">
        <x:f t="shared" si="5"/>
        <x:v>0</x:v>
      </x:c>
      <x:c r="U35" s="21">
        <x:f t="shared" si="6"/>
        <x:v>0</x:v>
      </x:c>
      <x:c r="V35" s="4" t="str">
        <x:f t="shared" si="7">IF(M35="已完成","完成",IF(M35="基本完成","需验收",IF(M35="进行中","进行中",IF(M35="未开始","待执行","待执行"))))</x:f>
        <x:v>需验收</x:v>
      </x:c>
    </x:row>
    <x:row r="36" ht="44" customHeight="1">
      <x:c r="A36" s="20" t="s">
        <x:v>272</x:v>
      </x:c>
      <x:c r="B36" s="4" t="s">
        <x:v>273</x:v>
      </x:c>
      <x:c r="C36" s="4" t="s">
        <x:v>274</x:v>
      </x:c>
      <x:c r="D36" s="4" t="s">
        <x:v>275</x:v>
      </x:c>
      <x:c r="E36" s="4" t="s">
        <x:v>276</x:v>
      </x:c>
      <x:c r="F36" s="4" t="s">
        <x:v>55</x:v>
      </x:c>
      <x:c r="G36" s="4">
        <x:v>3</x:v>
      </x:c>
      <x:c r="H36" s="21" t="n">
        <x:v>3</x:v>
      </x:c>
      <x:c r="I36" s="4" t="s">
        <x:v>217</x:v>
      </x:c>
      <x:c r="J36" s="4" t="s">
        <x:v>277</x:v>
      </x:c>
      <x:c r="K36" s="4" t="s">
        <x:v>108</x:v>
      </x:c>
      <x:c r="L36" s="4" t="s">
        <x:v>278</x:v>
      </x:c>
      <x:c r="M36" s="4" t="str">
        <x:v>未开始</x:v>
      </x:c>
      <x:c r="N36" s="4" t="s">
        <x:v>279</x:v>
      </x:c>
      <x:c r="O36" s="4" t="s">
        <x:v>280</x:v>
      </x:c>
      <x:c r="P36" s="21">
        <x:f t="shared" si="1"/>
        <x:v>0</x:v>
      </x:c>
      <x:c r="Q36" s="21">
        <x:f t="shared" si="2"/>
        <x:v>0</x:v>
      </x:c>
      <x:c r="R36" s="21">
        <x:f t="shared" si="3"/>
        <x:v>0</x:v>
      </x:c>
      <x:c r="S36" s="21">
        <x:f t="shared" si="4"/>
        <x:v>0</x:v>
      </x:c>
      <x:c r="T36" s="21">
        <x:f t="shared" si="5"/>
        <x:v>3</x:v>
      </x:c>
      <x:c r="U36" s="21">
        <x:f t="shared" si="6"/>
        <x:v>0</x:v>
      </x:c>
      <x:c r="V36" s="4" t="str">
        <x:f t="shared" si="7">IF(M36="已完成","完成",IF(M36="基本完成","需验收",IF(M36="进行中","进行中",IF(M36="未开始","待执行","待执行"))))</x:f>
        <x:v>待执行</x:v>
      </x:c>
    </x:row>
    <x:row r="37" ht="4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</x:row>
    <x:row r="38" ht="4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</x:row>
    <x:row r="39" ht="4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</x:row>
    <x:row r="40" ht="4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</x:row>
    <x:row r="41" ht="14.399999618530273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</x:row>
    <x:row r="42" ht="14.399999618530273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</x:row>
    <x:row r="43" ht="14.399999618530273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</x:row>
    <x:row r="44" ht="14.399999618530273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</x:row>
    <x:row r="45" ht="14.399999618530273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</x:row>
    <x:row r="46" ht="14.399999618530273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</x:row>
    <x:row r="47" ht="14.399999618530273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</x:row>
    <x:row r="48" ht="14.399999618530273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</x:row>
    <x:row r="49" ht="14.399999618530273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</x:row>
    <x:row r="50" ht="14.399999618530273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</x:row>
    <x:row r="51" ht="14.399999618530273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</x:row>
    <x:row r="52" ht="14.399999618530273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</x:row>
    <x:row r="53" ht="14.399999618530273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</x:row>
    <x:row r="54" ht="14.399999618530273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</x:row>
    <x:row r="55" ht="14.399999618530273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</x:row>
    <x:row r="56" ht="14.399999618530273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</x:row>
    <x:row r="57" ht="14.399999618530273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</x:row>
    <x:row r="58" ht="14.399999618530273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</x:row>
    <x:row r="59" ht="14.399999618530273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</x:row>
    <x:row r="60" ht="14.399999618530273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</x:row>
    <x:row r="61" ht="14.399999618530273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</x:row>
    <x:row r="62" ht="14.399999618530273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</x:row>
    <x:row r="63" ht="14.399999618530273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</x:row>
    <x:row r="64" ht="14.399999618530273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</x:row>
    <x:row r="65" ht="14.399999618530273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</x:row>
    <x:row r="66" ht="14.399999618530273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</x:row>
    <x:row r="67" ht="14.399999618530273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</x:row>
    <x:row r="68" ht="14.399999618530273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</x:row>
    <x:row r="69" ht="14.399999618530273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</x:row>
    <x:row r="70" ht="14.399999618530273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</x:row>
    <x:row r="71" ht="14.399999618530273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</x:row>
    <x:row r="72" ht="14.399999618530273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</x:row>
    <x:row r="73" ht="14.399999618530273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</x:row>
    <x:row r="74" ht="14.399999618530273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</x:row>
    <x:row r="75" ht="14.399999618530273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</x:row>
    <x:row r="76" ht="14.399999618530273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</x:row>
    <x:row r="77" ht="14.399999618530273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</x:row>
    <x:row r="78" ht="14.399999618530273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</x:row>
    <x:row r="79" ht="14.399999618530273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</x:row>
    <x:row r="80" ht="14.399999618530273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</x:row>
  </x:sheetData>
  <x:mergeCells>
    <x:mergeCell ref="P1:U1"/>
    <x:mergeCell ref="A1:A4"/>
    <x:mergeCell ref="B1:B4"/>
    <x:mergeCell ref="C1:C4"/>
    <x:mergeCell ref="D1:D4"/>
    <x:mergeCell ref="E1:E4"/>
    <x:mergeCell ref="F1:F4"/>
    <x:mergeCell ref="G1:G4"/>
    <x:mergeCell ref="H1:H4"/>
    <x:mergeCell ref="I1:I4"/>
    <x:mergeCell ref="J1:J4"/>
    <x:mergeCell ref="K1:K4"/>
    <x:mergeCell ref="L1:L4"/>
    <x:mergeCell ref="M1:M4"/>
    <x:mergeCell ref="N1:N4"/>
    <x:mergeCell ref="O1:O4"/>
    <x:mergeCell ref="P2:P4"/>
    <x:mergeCell ref="Q2:Q4"/>
    <x:mergeCell ref="R2:R4"/>
    <x:mergeCell ref="S2:S4"/>
    <x:mergeCell ref="T2:T4"/>
    <x:mergeCell ref="U2:U4"/>
    <x:mergeCell ref="V1:V4"/>
  </x:mergeCells>
  <x:conditionalFormatting sqref="M5:M28">
    <x:cfRule type="containsText" dxfId="0" priority="1" operator="between" text="已完成">
      <x:formula>NOT(ISERROR(SEARCH("已完成",M5)))</x:formula>
    </x:cfRule>
    <x:cfRule type="containsText" dxfId="1" priority="2" operator="between" text="阻塞">
      <x:formula>NOT(ISERROR(SEARCH("阻塞",M5)))</x:formula>
    </x:cfRule>
    <x:cfRule type="containsText" dxfId="2" priority="3" operator="between" text="进行中">
      <x:formula>NOT(ISERROR(SEARCH("进行中",M5)))</x:formula>
    </x:cfRule>
    <x:cfRule type="containsText" dxfId="3" priority="4" operator="between" text="计划中">
      <x:formula>NOT(ISERROR(SEARCH("计划中",M5)))</x:formula>
    </x:cfRule>
    <x:cfRule type="containsText" dxfId="4" priority="5" operator="between" text="进行中">
      <x:formula>NOT(ISERROR(SEARCH("进行中",M5)))</x:formula>
    </x:cfRule>
    <x:cfRule type="containsText" dxfId="5" priority="6" operator="between" text="已完成">
      <x:formula>NOT(ISERROR(SEARCH("已完成",M5)))</x:formula>
    </x:cfRule>
    <x:cfRule type="containsText" dxfId="6" priority="7" operator="between" text="阻塞">
      <x:formula>NOT(ISERROR(SEARCH("阻塞",M5)))</x:formula>
    </x:cfRule>
  </x:conditionalFormatting>
  <x:conditionalFormatting sqref="V5:V28">
    <x:cfRule type="containsText" dxfId="3" priority="8" operator="between" text="待执行">
      <x:formula>NOT(ISERROR(SEARCH("待执行",V5)))</x:formula>
    </x:cfRule>
  </x:conditionalFormatting>
  <x:dataValidations count="8">
    <x:dataValidation type="list" sqref="F5:F28">
      <x:formula1>"Must,Should,Could"</x:formula1>
    </x:dataValidation>
    <x:dataValidation type="whole" operator="between" sqref="H5:H28">
      <x:formula1>1</x:formula1>
      <x:formula2>8</x:formula2>
    </x:dataValidation>
    <x:dataValidation type="list" showInputMessage="1" showErrorMessage="1" sqref="I5:I28">
      <x:formula1>"Day1,Day2,Day3"</x:formula1>
    </x:dataValidation>
    <x:dataValidation type="list" sqref="I29:I36">
      <x:formula1>"Day1,Day2,Day3"</x:formula1>
    </x:dataValidation>
    <x:dataValidation type="list" sqref="K5:K28 K29:K36">
      <x:formula1>"陈梓元,王敬博,张琪,林粲涵"</x:formula1>
    </x:dataValidation>
    <x:dataValidation type="list" sqref="M5:M28">
      <x:formula1>"计划中,进行中,已完成,阻塞"</x:formula1>
    </x:dataValidation>
    <x:dataValidation type="list" sqref="M29:M36">
      <x:formula1>"未开始,进行中,基本完成,已完成"</x:formula1>
    </x:dataValidation>
    <x:dataValidation type="whole" operator="between" sqref="Q5:Q28 S5:S28 U5:U28">
      <x:formula1>0</x:formula1>
      <x:formula2>2</x:formula2>
    </x:dataValidation>
  </x:dataValidations>
  <x:pageMargins left="0.7" right="0.7" top="0.75" bottom="0.75" header="0.3" footer="0.3"/>
  <x:legacyDrawing xmlns:r="http://schemas.openxmlformats.org/officeDocument/2006/relationships" r:id="Rfe8045cad7d54018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5"/>
  <x:cols>
    <x:col min="1" max="1" width="18" customWidth="1"/>
    <x:col min="2" max="7" width="12" customWidth="1"/>
    <x:col min="8" max="8" width="4" customWidth="1"/>
    <x:col min="9" max="9" width="15" customWidth="1"/>
    <x:col min="10" max="10" width="30" customWidth="1"/>
    <x:col min="11" max="16" width="11" customWidth="1"/>
  </x:cols>
  <x:sheetData>
    <x:row r="1" ht="24" customHeight="1">
      <x:c r="A1" s="1" t="s">
        <x:v>281</x:v>
      </x:c>
      <x:c r="B1" s="1"/>
      <x:c r="C1" s="1"/>
      <x:c r="D1" s="1"/>
      <x:c r="E1" s="1"/>
      <x:c r="F1" s="1"/>
      <x:c r="G1" s="1"/>
      <x:c r="H1" s="1"/>
      <x:c r="I1" s="7" t="s">
        <x:v>282</x:v>
      </x:c>
      <x:c r="J1" s="7" t="s">
        <x:v>282</x:v>
      </x:c>
      <x:c r="K1" s="7" t="s">
        <x:v>282</x:v>
      </x:c>
      <x:c r="L1" s="7" t="s">
        <x:v>282</x:v>
      </x:c>
      <x:c r="M1" s="7" t="s">
        <x:v>282</x:v>
      </x:c>
      <x:c r="N1" s="7" t="s">
        <x:v>282</x:v>
      </x:c>
      <x:c r="O1" s="7" t="s">
        <x:v>282</x:v>
      </x:c>
      <x:c r="P1" s="7" t="s">
        <x:v>282</x:v>
      </x:c>
    </x:row>
    <x:row r="2" ht="24" customHeight="1">
      <x:c r="A2" s="2"/>
      <x:c r="B2" s="2"/>
      <x:c r="C2" s="2"/>
      <x:c r="D2" s="2"/>
      <x:c r="E2" s="2"/>
      <x:c r="F2" s="2"/>
      <x:c r="G2" s="2"/>
      <x:c r="H2" s="2"/>
      <x:c r="I2" s="8" t="s">
        <x:v>283</x:v>
      </x:c>
      <x:c r="J2" s="8" t="s">
        <x:v>283</x:v>
      </x:c>
      <x:c r="K2" s="8" t="s">
        <x:v>283</x:v>
      </x:c>
      <x:c r="L2" s="8" t="s">
        <x:v>283</x:v>
      </x:c>
      <x:c r="M2" s="8" t="s">
        <x:v>283</x:v>
      </x:c>
      <x:c r="N2" s="8" t="s">
        <x:v>283</x:v>
      </x:c>
      <x:c r="O2" s="8" t="s">
        <x:v>283</x:v>
      </x:c>
      <x:c r="P2" s="8" t="s">
        <x:v>283</x:v>
      </x:c>
    </x:row>
    <x:row r="3" ht="24" customHeight="1">
      <x:c r="A3" s="9" t="s">
        <x:v>284</x:v>
      </x:c>
      <x:c r="B3" s="4" t="s">
        <x:v>285</x:v>
      </x:c>
      <x:c r="C3" s="2"/>
      <x:c r="D3" s="2"/>
      <x:c r="E3" s="2"/>
      <x:c r="F3" s="2"/>
      <x:c r="G3" s="2"/>
      <x:c r="H3" s="2"/>
      <x:c r="I3" s="10" t="s">
        <x:v>286</x:v>
      </x:c>
      <x:c r="J3" s="10" t="s">
        <x:v>286</x:v>
      </x:c>
      <x:c r="K3" s="10" t="s">
        <x:v>286</x:v>
      </x:c>
      <x:c r="L3" s="10" t="s">
        <x:v>286</x:v>
      </x:c>
      <x:c r="M3" s="10" t="s">
        <x:v>286</x:v>
      </x:c>
      <x:c r="N3" s="10" t="s">
        <x:v>286</x:v>
      </x:c>
      <x:c r="O3" s="10" t="s">
        <x:v>286</x:v>
      </x:c>
      <x:c r="P3" s="10" t="s">
        <x:v>286</x:v>
      </x:c>
    </x:row>
    <x:row r="4" ht="24" customHeight="1">
      <x:c r="A4" s="9" t="s">
        <x:v>287</x:v>
      </x:c>
      <x:c r="B4" s="4" t="e">
        <x:f>COUNTA(SprintBacklog模板!$A$5:$A$36)</x:f>
        <x:v>#NAME?</x:v>
      </x:c>
      <x:c r="C4" s="2"/>
      <x:c r="D4" s="2"/>
      <x:c r="E4" s="2"/>
      <x:c r="F4" s="2"/>
      <x:c r="G4" s="2"/>
      <x:c r="H4" s="2"/>
      <x:c r="I4" s="11" t="s">
        <x:v>288</x:v>
      </x:c>
      <x:c r="J4" s="11" t="s">
        <x:v>288</x:v>
      </x:c>
      <x:c r="K4" s="11" t="s">
        <x:v>288</x:v>
      </x:c>
      <x:c r="L4" s="11" t="s">
        <x:v>288</x:v>
      </x:c>
      <x:c r="M4" s="11" t="s">
        <x:v>288</x:v>
      </x:c>
      <x:c r="N4" s="11" t="s">
        <x:v>288</x:v>
      </x:c>
      <x:c r="O4" s="11" t="s">
        <x:v>288</x:v>
      </x:c>
      <x:c r="P4" s="11" t="s">
        <x:v>288</x:v>
      </x:c>
    </x:row>
    <x:row r="5" ht="24" customHeight="1">
      <x:c r="A5" s="9" t="s">
        <x:v>289</x:v>
      </x:c>
      <x:c r="B5" s="4">
        <x:v>48</x:v>
      </x:c>
      <x:c r="C5" s="2"/>
      <x:c r="D5" s="2"/>
      <x:c r="E5" s="2"/>
      <x:c r="F5" s="2"/>
      <x:c r="G5" s="2"/>
      <x:c r="H5" s="2"/>
    </x:row>
    <x:row r="6" ht="24" customHeight="1">
      <x:c r="A6" s="9" t="s">
        <x:v>290</x:v>
      </x:c>
      <x:c r="B6" s="4">
        <x:v>12</x:v>
      </x:c>
      <x:c r="C6" s="2"/>
      <x:c r="D6" s="2"/>
      <x:c r="E6" s="2"/>
      <x:c r="F6" s="2"/>
      <x:c r="G6" s="2"/>
      <x:c r="H6" s="2"/>
    </x:row>
    <x:row r="7" ht="24" customHeight="1">
      <x:c r="A7" s="9" t="s">
        <x:v>291</x:v>
      </x:c>
      <x:c r="B7" s="4" t="n">
        <x:f>B5+B6</x:f>
        <x:v>60</x:v>
      </x:c>
      <x:c r="C7" s="2"/>
      <x:c r="D7" s="2"/>
      <x:c r="E7" s="2"/>
      <x:c r="F7" s="2"/>
      <x:c r="G7" s="2"/>
      <x:c r="H7" s="2"/>
    </x:row>
    <x:row r="8" ht="24" customHeight="1">
      <x:c r="A8" s="9" t="s">
        <x:v>292</x:v>
      </x:c>
      <x:c r="B8" s="4">
        <x:v>25</x:v>
      </x:c>
      <x:c r="C8" s="2"/>
      <x:c r="D8" s="2"/>
      <x:c r="E8" s="2"/>
      <x:c r="F8" s="2"/>
      <x:c r="G8" s="2"/>
      <x:c r="H8" s="2"/>
    </x:row>
    <x:row r="9" ht="24" customHeight="1">
      <x:c r="A9" s="9" t="s">
        <x:v>293</x:v>
      </x:c>
      <x:c r="B9" s="4" t="n">
        <x:f>B7-B8</x:f>
        <x:v>35</x:v>
      </x:c>
      <x:c r="C9" s="2"/>
      <x:c r="D9" s="2"/>
      <x:c r="E9" s="2"/>
      <x:c r="F9" s="2"/>
      <x:c r="G9" s="2"/>
      <x:c r="H9" s="2"/>
    </x:row>
    <x:row r="10" ht="24" customHeight="1">
      <x:c r="A10" s="9" t="s">
        <x:v>294</x:v>
      </x:c>
      <x:c r="B10" s="4" t="e">
        <x:f>COUNTA(PBI追溯!$A$6:$A$17)</x:f>
        <x:v>#NAME?</x:v>
      </x:c>
      <x:c r="C10" s="2"/>
      <x:c r="D10" s="2"/>
      <x:c r="E10" s="2"/>
      <x:c r="F10" s="2"/>
      <x:c r="G10" s="2"/>
      <x:c r="H10" s="2"/>
    </x:row>
    <x:row r="11" ht="24" customHeight="1">
      <x:c r="A11" s="2"/>
      <x:c r="B11" s="2"/>
      <x:c r="C11" s="2"/>
      <x:c r="D11" s="2"/>
      <x:c r="E11" s="2"/>
      <x:c r="F11" s="2"/>
      <x:c r="G11" s="2"/>
      <x:c r="H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</x:row>
    <x:row r="13" ht="24" customHeight="1">
      <x:c r="A13" s="3" t="s">
        <x:v>38</x:v>
      </x:c>
      <x:c r="B13" s="3" t="s">
        <x:v>295</x:v>
      </x:c>
      <x:c r="C13" s="3" t="s">
        <x:v>296</x:v>
      </x:c>
      <x:c r="D13" s="3" t="s">
        <x:v>297</x:v>
      </x:c>
      <x:c r="E13" s="3" t="s">
        <x:v>298</x:v>
      </x:c>
      <x:c r="F13" s="3" t="s">
        <x:v>299</x:v>
      </x:c>
      <x:c r="G13" s="3" t="s">
        <x:v>300</x:v>
      </x:c>
      <x:c r="H13" s="2"/>
      <x:c r="I13" s="12" t="s">
        <x:v>301</x:v>
      </x:c>
      <x:c r="J13" s="12" t="s">
        <x:v>302</x:v>
      </x:c>
    </x:row>
    <x:row r="14" ht="24" customHeight="1">
      <x:c r="A14" s="4" t="s">
        <x:v>58</x:v>
      </x:c>
      <x:c r="B14" s="4" t="e">
        <x:f>COUNTIF(SprintBacklog模板!$K$5:$K$36,A14)</x:f>
        <x:v>#NAME?</x:v>
      </x:c>
      <x:c r="C14" s="4" t="e">
        <x:f>SUMIF(SprintBacklog模板!$K$5:$K$36,A14,SprintBacklog模板!$H$5:$H$36)</x:f>
        <x:v>#NAME?</x:v>
      </x:c>
      <x:c r="D14" s="4" t="e">
        <x:f>SUMIFS(SprintBacklog模板!$H$5:$H$36,SprintBacklog模板!$K$5:$K$36,A14,SprintBacklog模板!$P$5:$P$36,0)+0</x:f>
        <x:v>#NAME?</x:v>
      </x:c>
      <x:c r="E14" s="4" t="e">
        <x:f>C14-D14</x:f>
        <x:v>#NAME?</x:v>
      </x:c>
      <x:c r="F14" s="4" t="e">
        <x:f>SUMIFS(SprintBacklog模板!$H$5:$H$36,SprintBacklog模板!$K$5:$K$36,A14,SprintBacklog模板!$I$5:$I$36,"Day1")</x:f>
        <x:v>#NAME?</x:v>
      </x:c>
      <x:c r="G14" s="4" t="e">
        <x:f>SUMIFS(SprintBacklog模板!$H$5:$H$36,SprintBacklog模板!$K$5:$K$36,A14,SprintBacklog模板!$I$5:$I$36,"Day2")</x:f>
        <x:v>#NAME?</x:v>
      </x:c>
      <x:c r="H14" s="2"/>
      <x:c r="I14" s="6" t="s">
        <x:v>303</x:v>
      </x:c>
      <x:c r="J14" s="6" t="s">
        <x:v>304</x:v>
      </x:c>
    </x:row>
    <x:row r="15" ht="24" customHeight="1">
      <x:c r="A15" s="4" t="s">
        <x:v>121</x:v>
      </x:c>
      <x:c r="B15" s="4" t="e">
        <x:f>COUNTIF(SprintBacklog模板!$K$5:$K$36,A15)</x:f>
        <x:v>#NAME?</x:v>
      </x:c>
      <x:c r="C15" s="4" t="e">
        <x:f>SUMIF(SprintBacklog模板!$K$5:$K$36,A15,SprintBacklog模板!$H$5:$H$36)</x:f>
        <x:v>#NAME?</x:v>
      </x:c>
      <x:c r="D15" s="4" t="e">
        <x:f>SUMIFS(SprintBacklog模板!$H$5:$H$36,SprintBacklog模板!$K$5:$K$36,A15,SprintBacklog模板!$P$5:$P$36,0)+0</x:f>
        <x:v>#NAME?</x:v>
      </x:c>
      <x:c r="E15" s="4" t="e">
        <x:f>C15-D15</x:f>
        <x:v>#NAME?</x:v>
      </x:c>
      <x:c r="F15" s="4" t="e">
        <x:f>SUMIFS(SprintBacklog模板!$H$5:$H$36,SprintBacklog模板!$K$5:$K$36,A15,SprintBacklog模板!$I$5:$I$36,"Day1")</x:f>
        <x:v>#NAME?</x:v>
      </x:c>
      <x:c r="G15" s="4" t="e">
        <x:f>SUMIFS(SprintBacklog模板!$H$5:$H$36,SprintBacklog模板!$K$5:$K$36,A15,SprintBacklog模板!$I$5:$I$36,"Day2")</x:f>
        <x:v>#NAME?</x:v>
      </x:c>
      <x:c r="H15" s="2"/>
      <x:c r="I15" s="6" t="s">
        <x:v>305</x:v>
      </x:c>
      <x:c r="J15" s="6" t="s">
        <x:v>306</x:v>
      </x:c>
    </x:row>
    <x:row r="16" ht="24" customHeight="1">
      <x:c r="A16" s="4" t="s">
        <x:v>95</x:v>
      </x:c>
      <x:c r="B16" s="4" t="e">
        <x:f>COUNTIF(SprintBacklog模板!$K$5:$K$36,A16)</x:f>
        <x:v>#NAME?</x:v>
      </x:c>
      <x:c r="C16" s="4" t="e">
        <x:f>SUMIF(SprintBacklog模板!$K$5:$K$36,A16,SprintBacklog模板!$H$5:$H$36)</x:f>
        <x:v>#NAME?</x:v>
      </x:c>
      <x:c r="D16" s="4" t="e">
        <x:f>SUMIFS(SprintBacklog模板!$H$5:$H$36,SprintBacklog模板!$K$5:$K$36,A16,SprintBacklog模板!$P$5:$P$36,0)+0</x:f>
        <x:v>#NAME?</x:v>
      </x:c>
      <x:c r="E16" s="4" t="e">
        <x:f>C16-D16</x:f>
        <x:v>#NAME?</x:v>
      </x:c>
      <x:c r="F16" s="4" t="e">
        <x:f>SUMIFS(SprintBacklog模板!$H$5:$H$36,SprintBacklog模板!$K$5:$K$36,A16,SprintBacklog模板!$I$5:$I$36,"Day1")</x:f>
        <x:v>#NAME?</x:v>
      </x:c>
      <x:c r="G16" s="4" t="e">
        <x:f>SUMIFS(SprintBacklog模板!$H$5:$H$36,SprintBacklog模板!$K$5:$K$36,A16,SprintBacklog模板!$I$5:$I$36,"Day2")</x:f>
        <x:v>#NAME?</x:v>
      </x:c>
      <x:c r="H16" s="2"/>
      <x:c r="I16" s="6" t="s">
        <x:v>307</x:v>
      </x:c>
      <x:c r="J16" s="6" t="s">
        <x:v>308</x:v>
      </x:c>
    </x:row>
    <x:row r="17" ht="24" customHeight="1">
      <x:c r="A17" s="4" t="s">
        <x:v>108</x:v>
      </x:c>
      <x:c r="B17" s="4" t="e">
        <x:f>COUNTIF(SprintBacklog模板!$K$5:$K$36,A17)</x:f>
        <x:v>#NAME?</x:v>
      </x:c>
      <x:c r="C17" s="4" t="e">
        <x:f>SUMIF(SprintBacklog模板!$K$5:$K$36,A17,SprintBacklog模板!$H$5:$H$36)</x:f>
        <x:v>#NAME?</x:v>
      </x:c>
      <x:c r="D17" s="4" t="e">
        <x:f>SUMIFS(SprintBacklog模板!$H$5:$H$36,SprintBacklog模板!$K$5:$K$36,A17,SprintBacklog模板!$P$5:$P$36,0)+0</x:f>
        <x:v>#NAME?</x:v>
      </x:c>
      <x:c r="E17" s="4" t="e">
        <x:f>C17-D17</x:f>
        <x:v>#NAME?</x:v>
      </x:c>
      <x:c r="F17" s="4" t="e">
        <x:f>SUMIFS(SprintBacklog模板!$H$5:$H$36,SprintBacklog模板!$K$5:$K$36,A17,SprintBacklog模板!$I$5:$I$36,"Day1")</x:f>
        <x:v>#NAME?</x:v>
      </x:c>
      <x:c r="G17" s="4" t="e">
        <x:f>SUMIFS(SprintBacklog模板!$H$5:$H$36,SprintBacklog模板!$K$5:$K$36,A17,SprintBacklog模板!$I$5:$I$36,"Day2")</x:f>
        <x:v>#NAME?</x:v>
      </x:c>
      <x:c r="H17" s="2"/>
      <x:c r="I17" s="6" t="s">
        <x:v>307</x:v>
      </x:c>
      <x:c r="J17" s="6" t="s">
        <x:v>309</x:v>
      </x:c>
    </x:row>
    <x:row r="18" ht="24" customHeight="1">
      <x:c r="A18" s="2"/>
      <x:c r="B18" s="2" t="e">
        <x:f t="shared" ref="B18:G18" si="0">SUM(B14:B17)</x:f>
        <x:v>#NAME?</x:v>
      </x:c>
      <x:c r="C18" s="2">
        <x:f t="shared" si="0"/>
        <x:v>35</x:v>
      </x:c>
      <x:c r="D18" s="2">
        <x:f t="shared" si="0"/>
        <x:v>20</x:v>
      </x:c>
      <x:c r="E18" s="2">
        <x:f t="shared" si="0"/>
        <x:v>15</x:v>
      </x:c>
      <x:c r="F18" s="2">
        <x:f t="shared" si="0"/>
        <x:v>15</x:v>
      </x:c>
      <x:c r="G18" s="2">
        <x:f t="shared" si="0"/>
        <x:v>15</x:v>
      </x:c>
      <x:c r="H18" s="2"/>
      <x:c r="I18" s="13" t="s">
        <x:v>310</x:v>
      </x:c>
      <x:c r="J18" s="13" t="s">
        <x:v>311</x:v>
      </x:c>
    </x:row>
    <x:row r="19" ht="24" customHeight="1">
      <x:c r="A19" s="2"/>
      <x:c r="B19" s="2"/>
      <x:c r="C19" s="2"/>
      <x:c r="D19" s="2"/>
      <x:c r="E19" s="2"/>
      <x:c r="F19" s="2"/>
      <x:c r="G19" s="2"/>
      <x:c r="H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</x:row>
    <x:row r="21" ht="24" customHeight="1">
      <x:c r="A21" s="3" t="s">
        <x:v>312</x:v>
      </x:c>
      <x:c r="B21" s="3" t="s">
        <x:v>313</x:v>
      </x:c>
      <x:c r="C21" s="3" t="s">
        <x:v>314</x:v>
      </x:c>
      <x:c r="D21" s="2"/>
      <x:c r="E21" s="2"/>
      <x:c r="F21" s="2"/>
      <x:c r="G21" s="2"/>
      <x:c r="H21" s="2"/>
    </x:row>
    <x:row r="22" ht="24" customHeight="1">
      <x:c r="A22" s="4" t="s">
        <x:v>315</x:v>
      </x:c>
      <x:c r="B22" s="4">
        <x:v>60</x:v>
      </x:c>
      <x:c r="C22" s="4">
        <x:v>60</x:v>
      </x:c>
      <x:c r="D22" s="2"/>
      <x:c r="E22" s="2"/>
      <x:c r="F22" s="2"/>
      <x:c r="G22" s="2"/>
      <x:c r="H22" s="2"/>
    </x:row>
    <x:row r="23" ht="24" customHeight="1">
      <x:c r="A23" s="4" t="s">
        <x:v>316</x:v>
      </x:c>
      <x:c r="B23" s="4" t="e">
        <x:f>MAX(0,B22-SUM(SprintBacklog模板!$P$5:$P$36))</x:f>
        <x:v>#NAME?</x:v>
      </x:c>
      <x:c r="C23" s="4" t="e">
        <x:f>MAX(0,C22-SUM(SprintBacklog模板!$Q$5:$Q$36))</x:f>
        <x:v>#NAME?</x:v>
      </x:c>
      <x:c r="D23" s="2"/>
      <x:c r="E23" s="2"/>
      <x:c r="F23" s="2"/>
      <x:c r="G23" s="2"/>
      <x:c r="H23" s="2"/>
    </x:row>
    <x:row r="24" ht="24" customHeight="1">
      <x:c r="A24" s="4" t="s">
        <x:v>317</x:v>
      </x:c>
      <x:c r="B24" s="4" t="e">
        <x:f>MAX(0,B23-SUM(SprintBacklog模板!$R$5:$R$36))</x:f>
        <x:v>#NAME?</x:v>
      </x:c>
      <x:c r="C24" s="4" t="e">
        <x:f>MAX(0,C23-SUM(SprintBacklog模板!$S$5:$S$36))</x:f>
        <x:v>#NAME?</x:v>
      </x:c>
      <x:c r="D24" s="2"/>
      <x:c r="E24" s="2"/>
      <x:c r="F24" s="2"/>
      <x:c r="G24" s="2"/>
      <x:c r="H24" s="2"/>
    </x:row>
    <x:row r="25" ht="24" customHeight="1">
      <x:c r="A25" s="4" t="s">
        <x:v>318</x:v>
      </x:c>
      <x:c r="B25" s="4" t="e">
        <x:f>MAX(0,B24-SUM(SprintBacklog模板!$T$5:$T$36))</x:f>
        <x:v>#NAME?</x:v>
      </x:c>
      <x:c r="C25" s="4" t="e">
        <x:f>MAX(0,C24-SUM(SprintBacklog模板!$U$5:$U$36))</x:f>
        <x:v>#NAME?</x:v>
      </x:c>
      <x:c r="D25" s="2"/>
      <x:c r="E25" s="2"/>
      <x:c r="F25" s="2"/>
      <x:c r="G25" s="2"/>
      <x:c r="H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14" t="s">
        <x:v>319</x:v>
      </x:c>
      <x:c r="J36" s="14" t="s">
        <x:v>319</x:v>
      </x:c>
      <x:c r="K36" s="14" t="s">
        <x:v>319</x:v>
      </x:c>
      <x:c r="L36" s="14" t="s">
        <x:v>319</x:v>
      </x:c>
      <x:c r="M36" s="14" t="s">
        <x:v>319</x:v>
      </x:c>
      <x:c r="N36" s="14" t="s">
        <x:v>319</x:v>
      </x:c>
      <x:c r="O36" s="14" t="s">
        <x:v>319</x:v>
      </x:c>
      <x:c r="P36" s="15" t="s">
        <x:v>319</x:v>
      </x:c>
    </x:row>
    <x:row r="37" ht="30" customHeight="1">
      <x:c r="A37" s="2"/>
      <x:c r="B37" s="2"/>
      <x:c r="C37" s="2"/>
      <x:c r="D37" s="2"/>
      <x:c r="E37" s="2"/>
      <x:c r="F37" s="2"/>
      <x:c r="G37" s="2"/>
      <x:c r="H37" s="2"/>
      <x:c r="I37" s="16" t="s">
        <x:v>319</x:v>
      </x:c>
      <x:c r="J37" s="16" t="s">
        <x:v>319</x:v>
      </x:c>
      <x:c r="K37" s="16" t="s">
        <x:v>319</x:v>
      </x:c>
      <x:c r="L37" s="16" t="s">
        <x:v>319</x:v>
      </x:c>
      <x:c r="M37" s="16" t="s">
        <x:v>319</x:v>
      </x:c>
      <x:c r="N37" s="16" t="s">
        <x:v>319</x:v>
      </x:c>
      <x:c r="O37" s="16" t="s">
        <x:v>319</x:v>
      </x:c>
      <x:c r="P37" s="17" t="s">
        <x:v>319</x:v>
      </x:c>
    </x:row>
    <x:row r="38" ht="14.399999618530273" customHeight="1">
      <x:c r="A38" s="2"/>
      <x:c r="B38" s="2"/>
      <x:c r="C38" s="2"/>
      <x:c r="D38" s="2"/>
      <x:c r="E38" s="2"/>
      <x:c r="F38" s="2"/>
      <x:c r="G38" s="2"/>
      <x:c r="H38" s="2"/>
    </x:row>
    <x:row r="39" ht="14.399999618530273" customHeight="1">
      <x:c r="A39" s="2"/>
      <x:c r="B39" s="2"/>
      <x:c r="C39" s="2"/>
      <x:c r="D39" s="2"/>
      <x:c r="E39" s="2"/>
      <x:c r="F39" s="2"/>
      <x:c r="G39" s="2"/>
      <x:c r="H39" s="2"/>
    </x:row>
    <x:row r="40" ht="14.399999618530273" customHeight="1">
      <x:c r="A40" s="2"/>
      <x:c r="B40" s="2"/>
      <x:c r="C40" s="2"/>
      <x:c r="D40" s="2"/>
      <x:c r="E40" s="2"/>
      <x:c r="F40" s="2"/>
      <x:c r="G40" s="2"/>
      <x:c r="H40" s="2"/>
    </x:row>
  </x:sheetData>
  <x:mergeCells>
    <x:mergeCell ref="A1:P1"/>
    <x:mergeCell ref="A1:H1"/>
    <x:mergeCell ref="A2:P2"/>
    <x:mergeCell ref="A3:P3"/>
    <x:mergeCell ref="C4:P4"/>
    <x:mergeCell ref="A36:P37"/>
  </x:mergeCells>
  <x:conditionalFormatting sqref="G22:G25">
    <x:cfRule type="containsText" dxfId="0" priority="3" operator="between" text="正常">
      <x:formula>NOT(ISERROR(SEARCH("正常",G22)))</x:formula>
    </x:cfRule>
    <x:cfRule type="containsText" dxfId="1" priority="4" operator="between" text="偏离">
      <x:formula>NOT(ISERROR(SEARCH("偏离",G22)))</x:formula>
    </x:cfRule>
  </x:conditionalFormatting>
  <x:conditionalFormatting sqref="H14:H18">
    <x:cfRule type="containsText" dxfId="0" priority="1" operator="between" text="平衡">
      <x:formula>NOT(ISERROR(SEARCH("平衡",H14)))</x:formula>
    </x:cfRule>
    <x:cfRule type="containsText" dxfId="1" priority="2" operator="between" text="需调整">
      <x:formula>NOT(ISERROR(SEARCH("需调整",H14)))</x:formula>
    </x:cfRule>
  </x:conditionalFormatting>
  <x:dataValidations count="1">
    <x:dataValidation type="list" sqref="B4">
      <x:formula1>"计划基线,执行中,已结束"</x:formula1>
    </x:dataValidation>
  </x:dataValidations>
  <x:pageMargins left="0.7" right="0.7" top="0.75" bottom="0.75" header="0.3" footer="0.3"/>
  <x:drawing xmlns:r="http://schemas.openxmlformats.org/officeDocument/2006/relationships" r:id="R1ba3c34f7f284e40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" defaultRowHeight="15"/>
  <x:cols>
    <x:col min="1" max="1" width="12" customWidth="1"/>
    <x:col min="2" max="2" width="22" customWidth="1"/>
    <x:col min="3" max="3" width="24" customWidth="1"/>
    <x:col min="4" max="4" width="48" customWidth="1"/>
    <x:col min="5" max="6" width="8" customWidth="1"/>
    <x:col min="7" max="7" width="10" customWidth="1"/>
    <x:col min="8" max="8" width="12" customWidth="1"/>
    <x:col min="9" max="9" width="16" customWidth="1"/>
    <x:col min="10" max="10" width="52" customWidth="1"/>
  </x:cols>
  <x:sheetData>
    <x:row r="1" ht="34" customHeight="1">
      <x:c r="A1" s="1" t="s">
        <x:v>320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ht="34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</x:row>
    <x:row r="3" ht="3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3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4" customHeight="1">
      <x:c r="A5" s="3" t="s">
        <x:v>29</x:v>
      </x:c>
      <x:c r="B5" s="3" t="s">
        <x:v>321</x:v>
      </x:c>
      <x:c r="C5" s="3" t="s">
        <x:v>322</x:v>
      </x:c>
      <x:c r="D5" s="3" t="s">
        <x:v>323</x:v>
      </x:c>
      <x:c r="E5" s="3" t="s">
        <x:v>324</x:v>
      </x:c>
      <x:c r="F5" s="3" t="s">
        <x:v>295</x:v>
      </x:c>
      <x:c r="G5" s="3" t="s">
        <x:v>296</x:v>
      </x:c>
      <x:c r="H5" s="3" t="s">
        <x:v>325</x:v>
      </x:c>
      <x:c r="I5" s="3" t="s">
        <x:v>326</x:v>
      </x:c>
      <x:c r="J5" s="3" t="s">
        <x:v>327</x:v>
      </x:c>
    </x:row>
    <x:row r="6" ht="34" customHeight="1">
      <x:c r="A6" s="4" t="s">
        <x:v>51</x:v>
      </x:c>
      <x:c r="B6" s="4" t="s">
        <x:v>328</x:v>
      </x:c>
      <x:c r="C6" s="4" t="s">
        <x:v>329</x:v>
      </x:c>
      <x:c r="D6" s="4" t="s">
        <x:v>330</x:v>
      </x:c>
      <x:c r="E6" s="4">
        <x:v>5</x:v>
      </x:c>
      <x:c r="F6" s="4" t="e">
        <x:f>COUNTIF(SprintBacklog模板!$B$5:$B$36,A6)</x:f>
        <x:v>#NAME?</x:v>
      </x:c>
      <x:c r="G6" s="4" t="e">
        <x:f>SUMIF(SprintBacklog模板!$B$5:$B$36,A6,SprintBacklog模板!$H$5:$H$36)</x:f>
        <x:v>#NAME?</x:v>
      </x:c>
      <x:c r="H6" s="4" t="e">
        <x:f>COUNTIFS(SprintBacklog模板!$B$5:$B$36,A6,SprintBacklog模板!$M$5:$M$36,"已完成")+COUNTIFS(SprintBacklog模板!$B$5:$B$36,A6,SprintBacklog模板!$M$5:$M$36,"基本完成")</x:f>
        <x:v>#NAME?</x:v>
      </x:c>
      <x:c r="I6" s="4" t="e">
        <x:f t="shared" ref="I6:I17" si="0">IF(F6=0,"缺口",IF(H6=F6,"已覆盖并完成",IF(H6&gt;0,"部分覆盖","已覆盖待执行")))</x:f>
        <x:v>#NAME?</x:v>
      </x:c>
      <x:c r="J6" s="4" t="e">
        <x:f>_xlfn.TEXTJOIN("；",TRUE,_xlfn._xlws.FILTER(SprintBacklog模板!$O$5:$O$36,SprintBacklog模板!$B$5:$B$36=A6,"待补证据"))</x:f>
        <x:v>#NAME?</x:v>
      </x:c>
    </x:row>
    <x:row r="7" ht="34" customHeight="1">
      <x:c r="A7" s="4" t="s">
        <x:v>90</x:v>
      </x:c>
      <x:c r="B7" s="4" t="s">
        <x:v>331</x:v>
      </x:c>
      <x:c r="C7" s="4" t="s">
        <x:v>332</x:v>
      </x:c>
      <x:c r="D7" s="4" t="s">
        <x:v>333</x:v>
      </x:c>
      <x:c r="E7" s="4">
        <x:v>5</x:v>
      </x:c>
      <x:c r="F7" s="4" t="e">
        <x:f>COUNTIF(SprintBacklog模板!$B$5:$B$36,A7)</x:f>
        <x:v>#NAME?</x:v>
      </x:c>
      <x:c r="G7" s="4" t="e">
        <x:f>SUMIF(SprintBacklog模板!$B$5:$B$36,A7,SprintBacklog模板!$H$5:$H$36)</x:f>
        <x:v>#NAME?</x:v>
      </x:c>
      <x:c r="H7" s="4" t="e">
        <x:f>COUNTIFS(SprintBacklog模板!$B$5:$B$36,A7,SprintBacklog模板!$M$5:$M$36,"已完成")+COUNTIFS(SprintBacklog模板!$B$5:$B$36,A7,SprintBacklog模板!$M$5:$M$36,"基本完成")</x:f>
        <x:v>#NAME?</x:v>
      </x:c>
      <x:c r="I7" s="4" t="str">
        <x:f t="shared" si="0"/>
        <x:v>部分覆盖</x:v>
      </x:c>
      <x:c r="J7" s="4" t="e">
        <x:f>_xlfn.TEXTJOIN("；",TRUE,_xlfn._xlws.FILTER(SprintBacklog模板!$O$5:$O$36,SprintBacklog模板!$B$5:$B$36=A7,"待补证据"))</x:f>
        <x:v>#NAME?</x:v>
      </x:c>
    </x:row>
    <x:row r="8" ht="34" customHeight="1">
      <x:c r="A8" s="4" t="s">
        <x:v>140</x:v>
      </x:c>
      <x:c r="B8" s="4" t="s">
        <x:v>334</x:v>
      </x:c>
      <x:c r="C8" s="4" t="s">
        <x:v>335</x:v>
      </x:c>
      <x:c r="D8" s="4" t="s">
        <x:v>336</x:v>
      </x:c>
      <x:c r="E8" s="4">
        <x:v>5</x:v>
      </x:c>
      <x:c r="F8" s="4" t="e">
        <x:f>COUNTIF(SprintBacklog模板!$B$5:$B$36,A8)</x:f>
        <x:v>#NAME?</x:v>
      </x:c>
      <x:c r="G8" s="4" t="e">
        <x:f>SUMIF(SprintBacklog模板!$B$5:$B$36,A8,SprintBacklog模板!$H$5:$H$36)</x:f>
        <x:v>#NAME?</x:v>
      </x:c>
      <x:c r="H8" s="4" t="e">
        <x:f>COUNTIFS(SprintBacklog模板!$B$5:$B$36,A8,SprintBacklog模板!$M$5:$M$36,"已完成")+COUNTIFS(SprintBacklog模板!$B$5:$B$36,A8,SprintBacklog模板!$M$5:$M$36,"基本完成")</x:f>
        <x:v>#NAME?</x:v>
      </x:c>
      <x:c r="I8" s="4" t="str">
        <x:f t="shared" si="0"/>
        <x:v>已覆盖并完成</x:v>
      </x:c>
      <x:c r="J8" s="4" t="e">
        <x:f>_xlfn.TEXTJOIN("；",TRUE,_xlfn._xlws.FILTER(SprintBacklog模板!$O$5:$O$36,SprintBacklog模板!$B$5:$B$36=A8,"待补证据"))</x:f>
        <x:v>#NAME?</x:v>
      </x:c>
    </x:row>
    <x:row r="9" ht="34" customHeight="1">
      <x:c r="A9" s="4" t="s">
        <x:v>126</x:v>
      </x:c>
      <x:c r="B9" s="4" t="s">
        <x:v>337</x:v>
      </x:c>
      <x:c r="C9" s="4" t="s">
        <x:v>338</x:v>
      </x:c>
      <x:c r="D9" s="4" t="s">
        <x:v>339</x:v>
      </x:c>
      <x:c r="E9" s="4">
        <x:v>5</x:v>
      </x:c>
      <x:c r="F9" s="4" t="e">
        <x:f>COUNTIF(SprintBacklog模板!$B$5:$B$36,A9)</x:f>
        <x:v>#NAME?</x:v>
      </x:c>
      <x:c r="G9" s="4" t="e">
        <x:f>SUMIF(SprintBacklog模板!$B$5:$B$36,A9,SprintBacklog模板!$H$5:$H$36)</x:f>
        <x:v>#NAME?</x:v>
      </x:c>
      <x:c r="H9" s="4" t="e">
        <x:f>COUNTIFS(SprintBacklog模板!$B$5:$B$36,A9,SprintBacklog模板!$M$5:$M$36,"已完成")+COUNTIFS(SprintBacklog模板!$B$5:$B$36,A9,SprintBacklog模板!$M$5:$M$36,"基本完成")</x:f>
        <x:v>#NAME?</x:v>
      </x:c>
      <x:c r="I9" s="4" t="str">
        <x:f t="shared" si="0"/>
        <x:v>部分覆盖</x:v>
      </x:c>
      <x:c r="J9" s="4" t="e">
        <x:f>_xlfn.TEXTJOIN("；",TRUE,_xlfn._xlws.FILTER(SprintBacklog模板!$O$5:$O$36,SprintBacklog模板!$B$5:$B$36=A9,"待补证据"))</x:f>
        <x:v>#NAME?</x:v>
      </x:c>
    </x:row>
    <x:row r="10" ht="34" customHeight="1">
      <x:c r="A10" s="4" t="s">
        <x:v>83</x:v>
      </x:c>
      <x:c r="B10" s="4" t="s">
        <x:v>340</x:v>
      </x:c>
      <x:c r="C10" s="4" t="s">
        <x:v>82</x:v>
      </x:c>
      <x:c r="D10" s="4" t="s">
        <x:v>341</x:v>
      </x:c>
      <x:c r="E10" s="4">
        <x:v>3</x:v>
      </x:c>
      <x:c r="F10" s="4" t="e">
        <x:f>COUNTIF(SprintBacklog模板!$B$5:$B$36,A10)</x:f>
        <x:v>#NAME?</x:v>
      </x:c>
      <x:c r="G10" s="4" t="e">
        <x:f>SUMIF(SprintBacklog模板!$B$5:$B$36,A10,SprintBacklog模板!$H$5:$H$36)</x:f>
        <x:v>#NAME?</x:v>
      </x:c>
      <x:c r="H10" s="4" t="e">
        <x:f>COUNTIFS(SprintBacklog模板!$B$5:$B$36,A10,SprintBacklog模板!$M$5:$M$36,"已完成")+COUNTIFS(SprintBacklog模板!$B$5:$B$36,A10,SprintBacklog模板!$M$5:$M$36,"基本完成")</x:f>
        <x:v>#NAME?</x:v>
      </x:c>
      <x:c r="I10" s="4" t="str">
        <x:f t="shared" si="0"/>
        <x:v>已覆盖待执行</x:v>
      </x:c>
      <x:c r="J10" s="4" t="e">
        <x:f>_xlfn.TEXTJOIN("；",TRUE,_xlfn._xlws.FILTER(SprintBacklog模板!$O$5:$O$36,SprintBacklog模板!$B$5:$B$36=A10,"待补证据"))</x:f>
        <x:v>#NAME?</x:v>
      </x:c>
    </x:row>
    <x:row r="11" ht="34" customHeight="1">
      <x:c r="A11" s="4" t="s">
        <x:v>182</x:v>
      </x:c>
      <x:c r="B11" s="4" t="s">
        <x:v>342</x:v>
      </x:c>
      <x:c r="C11" s="4" t="s">
        <x:v>343</x:v>
      </x:c>
      <x:c r="D11" s="4" t="s">
        <x:v>344</x:v>
      </x:c>
      <x:c r="E11" s="4">
        <x:v>5</x:v>
      </x:c>
      <x:c r="F11" s="4" t="e">
        <x:f>COUNTIF(SprintBacklog模板!$B$5:$B$36,A11)</x:f>
        <x:v>#NAME?</x:v>
      </x:c>
      <x:c r="G11" s="4" t="e">
        <x:f>SUMIF(SprintBacklog模板!$B$5:$B$36,A11,SprintBacklog模板!$H$5:$H$36)</x:f>
        <x:v>#NAME?</x:v>
      </x:c>
      <x:c r="H11" s="4" t="e">
        <x:f>COUNTIFS(SprintBacklog模板!$B$5:$B$36,A11,SprintBacklog模板!$M$5:$M$36,"已完成")+COUNTIFS(SprintBacklog模板!$B$5:$B$36,A11,SprintBacklog模板!$M$5:$M$36,"基本完成")</x:f>
        <x:v>#NAME?</x:v>
      </x:c>
      <x:c r="I11" s="4" t="str">
        <x:f t="shared" si="0"/>
        <x:v>部分覆盖</x:v>
      </x:c>
      <x:c r="J11" s="4" t="e">
        <x:f>_xlfn.TEXTJOIN("；",TRUE,_xlfn._xlws.FILTER(SprintBacklog模板!$O$5:$O$36,SprintBacklog模板!$B$5:$B$36=A11,"待补证据"))</x:f>
        <x:v>#NAME?</x:v>
      </x:c>
    </x:row>
    <x:row r="12" ht="34" customHeight="1">
      <x:c r="A12" s="4" t="s">
        <x:v>168</x:v>
      </x:c>
      <x:c r="B12" s="4" t="s">
        <x:v>345</x:v>
      </x:c>
      <x:c r="C12" s="4" t="s">
        <x:v>346</x:v>
      </x:c>
      <x:c r="D12" s="4" t="s">
        <x:v>347</x:v>
      </x:c>
      <x:c r="E12" s="4">
        <x:v>5</x:v>
      </x:c>
      <x:c r="F12" s="4" t="e">
        <x:f>COUNTIF(SprintBacklog模板!$B$5:$B$36,A12)</x:f>
        <x:v>#NAME?</x:v>
      </x:c>
      <x:c r="G12" s="4" t="e">
        <x:f>SUMIF(SprintBacklog模板!$B$5:$B$36,A12,SprintBacklog模板!$H$5:$H$36)</x:f>
        <x:v>#NAME?</x:v>
      </x:c>
      <x:c r="H12" s="4" t="e">
        <x:f>COUNTIFS(SprintBacklog模板!$B$5:$B$36,A12,SprintBacklog模板!$M$5:$M$36,"已完成")+COUNTIFS(SprintBacklog模板!$B$5:$B$36,A12,SprintBacklog模板!$M$5:$M$36,"基本完成")</x:f>
        <x:v>#NAME?</x:v>
      </x:c>
      <x:c r="I12" s="4" t="str">
        <x:f t="shared" si="0"/>
        <x:v>部分覆盖</x:v>
      </x:c>
      <x:c r="J12" s="4" t="e">
        <x:f>_xlfn.TEXTJOIN("；",TRUE,_xlfn._xlws.FILTER(SprintBacklog模板!$O$5:$O$36,SprintBacklog模板!$B$5:$B$36=A12,"待补证据"))</x:f>
        <x:v>#NAME?</x:v>
      </x:c>
    </x:row>
    <x:row r="13" ht="34" customHeight="1">
      <x:c r="A13" s="4" t="s">
        <x:v>213</x:v>
      </x:c>
      <x:c r="B13" s="4" t="s">
        <x:v>348</x:v>
      </x:c>
      <x:c r="C13" s="4" t="s">
        <x:v>212</x:v>
      </x:c>
      <x:c r="D13" s="4" t="s">
        <x:v>349</x:v>
      </x:c>
      <x:c r="E13" s="4">
        <x:v>3</x:v>
      </x:c>
      <x:c r="F13" s="4" t="e">
        <x:f>COUNTIF(SprintBacklog模板!$B$5:$B$36,A13)</x:f>
        <x:v>#NAME?</x:v>
      </x:c>
      <x:c r="G13" s="4" t="e">
        <x:f>SUMIF(SprintBacklog模板!$B$5:$B$36,A13,SprintBacklog模板!$H$5:$H$36)</x:f>
        <x:v>#NAME?</x:v>
      </x:c>
      <x:c r="H13" s="4" t="e">
        <x:f>COUNTIFS(SprintBacklog模板!$B$5:$B$36,A13,SprintBacklog模板!$M$5:$M$36,"已完成")+COUNTIFS(SprintBacklog模板!$B$5:$B$36,A13,SprintBacklog模板!$M$5:$M$36,"基本完成")</x:f>
        <x:v>#NAME?</x:v>
      </x:c>
      <x:c r="I13" s="4" t="str">
        <x:f t="shared" si="0"/>
        <x:v>已覆盖待执行</x:v>
      </x:c>
      <x:c r="J13" s="4" t="e">
        <x:f>_xlfn.TEXTJOIN("；",TRUE,_xlfn._xlws.FILTER(SprintBacklog模板!$O$5:$O$36,SprintBacklog模板!$B$5:$B$36=A13,"待补证据"))</x:f>
        <x:v>#NAME?</x:v>
      </x:c>
    </x:row>
    <x:row r="14" ht="34" customHeight="1">
      <x:c r="A14" s="4" t="s">
        <x:v>223</x:v>
      </x:c>
      <x:c r="B14" s="4" t="s">
        <x:v>350</x:v>
      </x:c>
      <x:c r="C14" s="4" t="s">
        <x:v>351</x:v>
      </x:c>
      <x:c r="D14" s="4" t="s">
        <x:v>352</x:v>
      </x:c>
      <x:c r="E14" s="4">
        <x:v>5</x:v>
      </x:c>
      <x:c r="F14" s="4" t="e">
        <x:f>COUNTIF(SprintBacklog模板!$B$5:$B$36,A14)</x:f>
        <x:v>#NAME?</x:v>
      </x:c>
      <x:c r="G14" s="4" t="e">
        <x:f>SUMIF(SprintBacklog模板!$B$5:$B$36,A14,SprintBacklog模板!$H$5:$H$36)</x:f>
        <x:v>#NAME?</x:v>
      </x:c>
      <x:c r="H14" s="4" t="e">
        <x:f>COUNTIFS(SprintBacklog模板!$B$5:$B$36,A14,SprintBacklog模板!$M$5:$M$36,"已完成")+COUNTIFS(SprintBacklog模板!$B$5:$B$36,A14,SprintBacklog模板!$M$5:$M$36,"基本完成")</x:f>
        <x:v>#NAME?</x:v>
      </x:c>
      <x:c r="I14" s="4" t="str">
        <x:f t="shared" si="0"/>
        <x:v>部分覆盖</x:v>
      </x:c>
      <x:c r="J14" s="4" t="e">
        <x:f>_xlfn.TEXTJOIN("；",TRUE,_xlfn._xlws.FILTER(SprintBacklog模板!$O$5:$O$36,SprintBacklog模板!$B$5:$B$36=A14,"待补证据"))</x:f>
        <x:v>#NAME?</x:v>
      </x:c>
    </x:row>
    <x:row r="15" ht="34" customHeight="1">
      <x:c r="A15" s="4" t="s">
        <x:v>246</x:v>
      </x:c>
      <x:c r="B15" s="4" t="s">
        <x:v>353</x:v>
      </x:c>
      <x:c r="C15" s="4" t="s">
        <x:v>354</x:v>
      </x:c>
      <x:c r="D15" s="4" t="s">
        <x:v>355</x:v>
      </x:c>
      <x:c r="E15" s="4">
        <x:v>5</x:v>
      </x:c>
      <x:c r="F15" s="4" t="e">
        <x:f>COUNTIF(SprintBacklog模板!$B$5:$B$36,A15)</x:f>
        <x:v>#NAME?</x:v>
      </x:c>
      <x:c r="G15" s="4" t="e">
        <x:f>SUMIF(SprintBacklog模板!$B$5:$B$36,A15,SprintBacklog模板!$H$5:$H$36)</x:f>
        <x:v>#NAME?</x:v>
      </x:c>
      <x:c r="H15" s="4" t="e">
        <x:f>COUNTIFS(SprintBacklog模板!$B$5:$B$36,A15,SprintBacklog模板!$M$5:$M$36,"已完成")+COUNTIFS(SprintBacklog模板!$B$5:$B$36,A15,SprintBacklog模板!$M$5:$M$36,"基本完成")</x:f>
        <x:v>#NAME?</x:v>
      </x:c>
      <x:c r="I15" s="4" t="str">
        <x:f t="shared" si="0"/>
        <x:v>已覆盖待执行</x:v>
      </x:c>
      <x:c r="J15" s="4" t="e">
        <x:f>_xlfn.TEXTJOIN("；",TRUE,_xlfn._xlws.FILTER(SprintBacklog模板!$O$5:$O$36,SprintBacklog模板!$B$5:$B$36=A15,"待补证据"))</x:f>
        <x:v>#NAME?</x:v>
      </x:c>
    </x:row>
    <x:row r="16" ht="34" customHeight="1">
      <x:c r="A16" s="4" t="s">
        <x:v>259</x:v>
      </x:c>
      <x:c r="B16" s="4" t="s">
        <x:v>356</x:v>
      </x:c>
      <x:c r="C16" s="4" t="s">
        <x:v>357</x:v>
      </x:c>
      <x:c r="D16" s="4" t="s">
        <x:v>358</x:v>
      </x:c>
      <x:c r="E16" s="4">
        <x:v>5</x:v>
      </x:c>
      <x:c r="F16" s="4" t="e">
        <x:f>COUNTIF(SprintBacklog模板!$B$5:$B$36,A16)</x:f>
        <x:v>#NAME?</x:v>
      </x:c>
      <x:c r="G16" s="4" t="e">
        <x:f>SUMIF(SprintBacklog模板!$B$5:$B$36,A16,SprintBacklog模板!$H$5:$H$36)</x:f>
        <x:v>#NAME?</x:v>
      </x:c>
      <x:c r="H16" s="4" t="e">
        <x:f>COUNTIFS(SprintBacklog模板!$B$5:$B$36,A16,SprintBacklog模板!$M$5:$M$36,"已完成")+COUNTIFS(SprintBacklog模板!$B$5:$B$36,A16,SprintBacklog模板!$M$5:$M$36,"基本完成")</x:f>
        <x:v>#NAME?</x:v>
      </x:c>
      <x:c r="I16" s="4" t="str">
        <x:f t="shared" si="0"/>
        <x:v>部分覆盖</x:v>
      </x:c>
      <x:c r="J16" s="4" t="e">
        <x:f>_xlfn.TEXTJOIN("；",TRUE,_xlfn._xlws.FILTER(SprintBacklog模板!$O$5:$O$36,SprintBacklog模板!$B$5:$B$36=A16,"待补证据"))</x:f>
        <x:v>#NAME?</x:v>
      </x:c>
    </x:row>
    <x:row r="17" ht="34" customHeight="1">
      <x:c r="A17" s="4" t="s">
        <x:v>273</x:v>
      </x:c>
      <x:c r="B17" s="4" t="s">
        <x:v>359</x:v>
      </x:c>
      <x:c r="C17" s="4" t="s">
        <x:v>272</x:v>
      </x:c>
      <x:c r="D17" s="4" t="s">
        <x:v>360</x:v>
      </x:c>
      <x:c r="E17" s="4">
        <x:v>3</x:v>
      </x:c>
      <x:c r="F17" s="4" t="e">
        <x:f>COUNTIF(SprintBacklog模板!$B$5:$B$36,A17)</x:f>
        <x:v>#NAME?</x:v>
      </x:c>
      <x:c r="G17" s="4" t="e">
        <x:f>SUMIF(SprintBacklog模板!$B$5:$B$36,A17,SprintBacklog模板!$H$5:$H$36)</x:f>
        <x:v>#NAME?</x:v>
      </x:c>
      <x:c r="H17" s="4" t="e">
        <x:f>COUNTIFS(SprintBacklog模板!$B$5:$B$36,A17,SprintBacklog模板!$M$5:$M$36,"已完成")+COUNTIFS(SprintBacklog模板!$B$5:$B$36,A17,SprintBacklog模板!$M$5:$M$36,"基本完成")</x:f>
        <x:v>#NAME?</x:v>
      </x:c>
      <x:c r="I17" s="4" t="str">
        <x:f t="shared" si="0"/>
        <x:v>已覆盖待执行</x:v>
      </x:c>
      <x:c r="J17" s="4" t="e">
        <x:f>_xlfn.TEXTJOIN("；",TRUE,_xlfn._xlws.FILTER(SprintBacklog模板!$O$5:$O$36,SprintBacklog模板!$B$5:$B$36=A17,"待补证据"))</x:f>
        <x:v>#NAME?</x:v>
      </x:c>
    </x:row>
    <x:row r="18" ht="3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 ht="3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 ht="3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 ht="14.39999961853027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 ht="14.39999961853027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 ht="14.39999961853027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 ht="14.39999961853027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 ht="14.39999961853027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 ht="14.39999961853027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 ht="14.39999961853027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 ht="14.39999961853027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14.399999618530273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 ht="14.399999618530273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 ht="14.399999618530273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 ht="14.399999618530273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 ht="14.39999961853027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 ht="14.399999618530273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14.399999618530273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 ht="14.25" customHeight="1">
      <x:c r="A36" s="5"/>
      <x:c r="B36" s="5"/>
      <x:c r="C36" s="6"/>
      <x:c r="D36" s="6"/>
    </x:row>
    <x:row r="37" ht="14.25" customHeight="1">
      <x:c r="A37" s="5"/>
      <x:c r="B37" s="5"/>
      <x:c r="C37" s="6"/>
      <x:c r="D37" s="6"/>
    </x:row>
    <x:row r="38" ht="14.25" customHeight="1">
      <x:c r="A38" s="5"/>
      <x:c r="B38" s="5"/>
      <x:c r="C38" s="6"/>
      <x:c r="D38" s="6"/>
    </x:row>
    <x:row r="39" ht="14.25" customHeight="1">
      <x:c r="A39" s="5"/>
      <x:c r="B39" s="5"/>
      <x:c r="C39" s="6"/>
      <x:c r="D39" s="6"/>
    </x:row>
  </x:sheetData>
  <x:mergeCells>
    <x:mergeCell ref="A1:J1"/>
    <x:mergeCell ref="A2:J2"/>
    <x:mergeCell ref="A3:J3"/>
    <x:mergeCell ref="A20:J20"/>
  </x:mergeCells>
  <x:conditionalFormatting sqref="I6:I17">
    <x:cfRule type="containsText" dxfId="0" priority="1" operator="between" text="已覆盖">
      <x:formula>NOT(ISERROR(SEARCH("已覆盖",I6)))</x:formula>
    </x:cfRule>
    <x:cfRule type="containsText" dxfId="1" priority="2" operator="between" text="缺口">
      <x:formula>NOT(ISERROR(SEARCH("缺口",I6)))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9" defaultRowHeight="15"/>
  <x:cols>
    <x:col min="1" max="1" width="16" customWidth="1"/>
    <x:col min="2" max="3" width="24" customWidth="1"/>
    <x:col min="4" max="5" width="28" customWidth="1"/>
    <x:col min="6" max="6" width="30" customWidth="1"/>
    <x:col min="7" max="7" width="24" customWidth="1"/>
    <x:col min="8" max="8" width="30" customWidth="1"/>
    <x:col min="9" max="10" width="24" customWidth="1"/>
    <x:col min="11" max="11" width="36" customWidth="1"/>
  </x:cols>
  <x:sheetData>
    <x:row r="1" ht="44" customHeight="1">
      <x:c r="A1" s="1" t="s">
        <x:v>361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44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44" customHeight="1">
      <x:c r="A3" s="3" t="s">
        <x:v>362</x:v>
      </x:c>
      <x:c r="B3" s="3" t="s">
        <x:v>363</x:v>
      </x:c>
      <x:c r="C3" s="3" t="s">
        <x:v>364</x:v>
      </x:c>
      <x:c r="D3" s="3" t="s">
        <x:v>365</x:v>
      </x:c>
      <x:c r="E3" s="3" t="s">
        <x:v>366</x:v>
      </x:c>
      <x:c r="F3" s="3" t="s">
        <x:v>367</x:v>
      </x:c>
      <x:c r="G3" s="3" t="s">
        <x:v>368</x:v>
      </x:c>
      <x:c r="H3" s="3" t="s">
        <x:v>369</x:v>
      </x:c>
      <x:c r="I3" s="3" t="s">
        <x:v>370</x:v>
      </x:c>
      <x:c r="J3" s="3" t="s">
        <x:v>371</x:v>
      </x:c>
      <x:c r="K3" s="3" t="s">
        <x:v>327</x:v>
      </x:c>
    </x:row>
    <x:row r="4" ht="44" customHeight="1">
      <x:c r="A4" s="4" t="s">
        <x:v>372</x:v>
      </x:c>
      <x:c r="B4" s="4" t="s">
        <x:v>373</x:v>
      </x:c>
      <x:c r="C4" s="4" t="s">
        <x:v>374</x:v>
      </x:c>
      <x:c r="D4" s="4" t="s">
        <x:v>375</x:v>
      </x:c>
      <x:c r="E4" s="4" t="s">
        <x:v>376</x:v>
      </x:c>
      <x:c r="F4" s="4" t="s">
        <x:v>377</x:v>
      </x:c>
      <x:c r="G4" s="4" t="s">
        <x:v>378</x:v>
      </x:c>
      <x:c r="H4" s="4" t="s">
        <x:v>379</x:v>
      </x:c>
      <x:c r="I4" s="4" t="s">
        <x:v>380</x:v>
      </x:c>
      <x:c r="J4" s="4" t="s">
        <x:v>381</x:v>
      </x:c>
      <x:c r="K4" s="4" t="s">
        <x:v>382</x:v>
      </x:c>
    </x:row>
    <x:row r="5" ht="44" customHeight="1">
      <x:c r="A5" s="4" t="s">
        <x:v>383</x:v>
      </x:c>
      <x:c r="B5" s="4" t="s">
        <x:v>384</x:v>
      </x:c>
      <x:c r="C5" s="4" t="s">
        <x:v>385</x:v>
      </x:c>
      <x:c r="D5" s="4" t="s">
        <x:v>386</x:v>
      </x:c>
      <x:c r="E5" s="4" t="s">
        <x:v>387</x:v>
      </x:c>
      <x:c r="F5" s="4" t="s">
        <x:v>388</x:v>
      </x:c>
      <x:c r="G5" s="4" t="s">
        <x:v>389</x:v>
      </x:c>
      <x:c r="H5" s="4" t="s">
        <x:v>390</x:v>
      </x:c>
      <x:c r="I5" s="4" t="s">
        <x:v>380</x:v>
      </x:c>
      <x:c r="J5" s="4" t="s">
        <x:v>391</x:v>
      </x:c>
      <x:c r="K5" s="4" t="s">
        <x:v>392</x:v>
      </x:c>
    </x:row>
    <x:row r="6" ht="44" customHeight="1">
      <x:c r="A6" s="4" t="s">
        <x:v>393</x:v>
      </x:c>
      <x:c r="B6" s="4" t="s">
        <x:v>394</x:v>
      </x:c>
      <x:c r="C6" s="4" t="s">
        <x:v>395</x:v>
      </x:c>
      <x:c r="D6" s="4" t="s">
        <x:v>396</x:v>
      </x:c>
      <x:c r="E6" s="4" t="s">
        <x:v>397</x:v>
      </x:c>
      <x:c r="F6" s="4" t="s">
        <x:v>398</x:v>
      </x:c>
      <x:c r="G6" s="4" t="s">
        <x:v>399</x:v>
      </x:c>
      <x:c r="H6" s="4" t="s">
        <x:v>400</x:v>
      </x:c>
      <x:c r="I6" s="4" t="s">
        <x:v>401</x:v>
      </x:c>
      <x:c r="J6" s="4" t="s">
        <x:v>402</x:v>
      </x:c>
      <x:c r="K6" s="4" t="s">
        <x:v>403</x:v>
      </x:c>
    </x:row>
    <x:row r="7" ht="44" customHeight="1">
      <x:c r="A7" s="4" t="s">
        <x:v>404</x:v>
      </x:c>
      <x:c r="B7" s="4" t="s">
        <x:v>405</x:v>
      </x:c>
      <x:c r="C7" s="4" t="s">
        <x:v>406</x:v>
      </x:c>
      <x:c r="D7" s="4" t="s">
        <x:v>407</x:v>
      </x:c>
      <x:c r="E7" s="4" t="s">
        <x:v>408</x:v>
      </x:c>
      <x:c r="F7" s="4" t="s">
        <x:v>409</x:v>
      </x:c>
      <x:c r="G7" s="4" t="s">
        <x:v>410</x:v>
      </x:c>
      <x:c r="H7" s="4" t="s">
        <x:v>411</x:v>
      </x:c>
      <x:c r="I7" s="4" t="s">
        <x:v>380</x:v>
      </x:c>
      <x:c r="J7" s="4" t="s">
        <x:v>412</x:v>
      </x:c>
      <x:c r="K7" s="4" t="s">
        <x:v>413</x:v>
      </x:c>
    </x:row>
    <x:row r="8" ht="44" customHeight="1">
      <x:c r="A8" s="4" t="s">
        <x:v>414</x:v>
      </x:c>
      <x:c r="B8" s="4" t="s">
        <x:v>415</x:v>
      </x:c>
      <x:c r="C8" s="4" t="s">
        <x:v>416</x:v>
      </x:c>
      <x:c r="D8" s="4" t="s">
        <x:v>417</x:v>
      </x:c>
      <x:c r="E8" s="4" t="s">
        <x:v>380</x:v>
      </x:c>
      <x:c r="F8" s="4" t="s">
        <x:v>418</x:v>
      </x:c>
      <x:c r="G8" s="4" t="s">
        <x:v>419</x:v>
      </x:c>
      <x:c r="H8" s="4" t="s">
        <x:v>420</x:v>
      </x:c>
      <x:c r="I8" s="4" t="s">
        <x:v>421</x:v>
      </x:c>
      <x:c r="J8" s="4" t="s">
        <x:v>422</x:v>
      </x:c>
      <x:c r="K8" s="4" t="s">
        <x:v>423</x:v>
      </x:c>
    </x:row>
    <x:row r="9" ht="44" customHeight="1">
      <x:c r="A9" s="4" t="s">
        <x:v>424</x:v>
      </x:c>
      <x:c r="B9" s="4" t="s">
        <x:v>425</x:v>
      </x:c>
      <x:c r="C9" s="4" t="s">
        <x:v>426</x:v>
      </x:c>
      <x:c r="D9" s="4" t="s">
        <x:v>427</x:v>
      </x:c>
      <x:c r="E9" s="4" t="s">
        <x:v>428</x:v>
      </x:c>
      <x:c r="F9" s="4" t="s">
        <x:v>429</x:v>
      </x:c>
      <x:c r="G9" s="4" t="s">
        <x:v>430</x:v>
      </x:c>
      <x:c r="H9" s="4" t="s">
        <x:v>431</x:v>
      </x:c>
      <x:c r="I9" s="4" t="s">
        <x:v>432</x:v>
      </x:c>
      <x:c r="J9" s="4" t="s">
        <x:v>433</x:v>
      </x:c>
      <x:c r="K9" s="4" t="s">
        <x:v>434</x:v>
      </x:c>
    </x:row>
    <x:row r="10" ht="44" customHeight="1">
      <x:c r="A10" s="4" t="s">
        <x:v>435</x:v>
      </x:c>
      <x:c r="B10" s="4" t="s">
        <x:v>436</x:v>
      </x:c>
      <x:c r="C10" s="4" t="s">
        <x:v>437</x:v>
      </x:c>
      <x:c r="D10" s="4" t="s">
        <x:v>438</x:v>
      </x:c>
      <x:c r="E10" s="4" t="s">
        <x:v>439</x:v>
      </x:c>
      <x:c r="F10" s="4" t="s">
        <x:v>440</x:v>
      </x:c>
      <x:c r="G10" s="4" t="s">
        <x:v>441</x:v>
      </x:c>
      <x:c r="H10" s="4" t="s">
        <x:v>442</x:v>
      </x:c>
      <x:c r="I10" s="4" t="s">
        <x:v>443</x:v>
      </x:c>
      <x:c r="J10" s="4" t="s">
        <x:v>444</x:v>
      </x:c>
      <x:c r="K10" s="4" t="s">
        <x:v>445</x:v>
      </x:c>
    </x:row>
    <x:row r="11" ht="44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</x:row>
    <x:row r="12" ht="44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</x:row>
    <x:row r="13" ht="4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</x:row>
    <x:row r="14" ht="44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</x:row>
    <x:row r="15" ht="14.399999618530273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14.39999961853027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 ht="14.399999618530273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 ht="14.39999961853027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 ht="14.39999961853027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 ht="14.39999961853027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 ht="14.39999961853027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 ht="14.39999961853027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 ht="14.39999961853027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 ht="14.39999961853027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 ht="14.39999961853027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 ht="14.39999961853027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 ht="14.39999961853027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 ht="14.39999961853027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 ht="14.399999618530273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 ht="14.399999618530273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 ht="14.399999618530273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 ht="14.399999618530273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  <x:row r="33" ht="14.39999961853027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  <x:row r="34" ht="14.399999618530273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  <x:row r="35" ht="14.399999618530273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 ht="14.399999618530273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  <x:row r="37" ht="14.399999618530273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 ht="14.399999618530273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 ht="14.399999618530273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 ht="14.399999618530273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  <x:row r="41" ht="14.399999618530273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</x:row>
    <x:row r="42" ht="14.399999618530273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  <x:row r="43" ht="14.399999618530273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</x:row>
    <x:row r="44" ht="14.399999618530273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</x:row>
    <x:row r="45" ht="14.399999618530273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</x:row>
    <x:row r="46" ht="14.399999618530273" customHeight="1"/>
    <x:row r="47" ht="14.399999618530273" customHeight="1"/>
    <x:row r="48" ht="14.399999618530273" customHeight="1"/>
    <x:row r="49" ht="14.399999618530273" customHeight="1"/>
    <x:row r="50" ht="14.399999618530273" customHeight="1"/>
    <x:row r="52" ht="14.399999618530273" customHeight="1"/>
    <x:row r="53" ht="14.399999618530273" customHeight="1"/>
    <x:row r="54" ht="14.399999618530273" customHeight="1"/>
    <x:row r="55" ht="14.399999618530273" customHeight="1"/>
    <x:row r="56" ht="14.399999618530273" customHeight="1"/>
    <x:row r="57" ht="14.399999618530273" customHeight="1"/>
    <x:row r="58" ht="14.399999618530273" customHeight="1"/>
    <x:row r="60" ht="14.399999618530273" customHeight="1"/>
    <x:row r="61" ht="14.399999618530273" customHeight="1"/>
    <x:row r="62" ht="14.399999618530273" customHeight="1"/>
    <x:row r="63" ht="14.399999618530273" customHeight="1"/>
    <x:row r="64" ht="14.399999618530273" customHeight="1"/>
    <x:row r="65" ht="14.399999618530273" customHeight="1"/>
    <x:row r="66" ht="14.399999618530273" customHeight="1"/>
    <x:row r="67" ht="14.399999618530273" customHeight="1"/>
    <x:row r="68" ht="14.399999618530273" customHeight="1"/>
    <x:row r="69" ht="14.399999618530273" customHeight="1"/>
    <x:row r="75" ht="14.399999618530273" customHeight="1"/>
    <x:row r="76" ht="14.399999618530273" customHeight="1"/>
    <x:row r="77" ht="14.399999618530273" customHeight="1"/>
    <x:row r="78" ht="14.399999618530273" customHeight="1"/>
    <x:row r="79" ht="14.399999618530273" customHeight="1"/>
    <x:row r="80" ht="14.399999618530273" customHeight="1"/>
    <x:row r="81" ht="68" customHeight="1"/>
    <x:row r="82" ht="68" customHeight="1"/>
  </x:sheetData>
  <x:mergeCells>
    <x:mergeCell ref="A1:H1"/>
    <x:mergeCell ref="A1:K1"/>
    <x:mergeCell ref="A2:H2"/>
    <x:mergeCell ref="A4:H4"/>
    <x:mergeCell ref="A16:H16"/>
    <x:mergeCell ref="A26:H26"/>
    <x:mergeCell ref="A41:H41"/>
    <x:mergeCell ref="A52:H52"/>
    <x:mergeCell ref="A60:H60"/>
    <x:mergeCell ref="A75:H75"/>
    <x:mergeCell ref="A23:H24"/>
    <x:mergeCell ref="A71:H73"/>
  </x:mergeCells>
  <x:pageMargins left="0.7" right="0.7" top="0.75" bottom="0.75" header="0.3" footer="0.3"/>
  <x:tableParts count="5">
    <x:tablePart xmlns:r="http://schemas.openxmlformats.org/officeDocument/2006/relationships" r:id="Rd01d457674624222"/>
    <x:tablePart xmlns:r="http://schemas.openxmlformats.org/officeDocument/2006/relationships" r:id="Rf1782a057cf2481f"/>
    <x:tablePart xmlns:r="http://schemas.openxmlformats.org/officeDocument/2006/relationships" r:id="Raf1f2aa78e214393"/>
    <x:tablePart xmlns:r="http://schemas.openxmlformats.org/officeDocument/2006/relationships" r:id="Rb034cc68e9d14bd4"/>
    <x:tablePart xmlns:r="http://schemas.openxmlformats.org/officeDocument/2006/relationships" r:id="R649924358f0a432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9" defaultRowHeight="15"/>
  <x:cols>
    <x:col min="1" max="1" width="16" customWidth="1"/>
    <x:col min="2" max="2" width="12" customWidth="1"/>
    <x:col min="3" max="3" width="28" customWidth="1"/>
    <x:col min="4" max="4" width="22" customWidth="1"/>
    <x:col min="5" max="5" width="28" customWidth="1"/>
    <x:col min="6" max="6" width="16" customWidth="1"/>
    <x:col min="7" max="7" width="24" customWidth="1"/>
    <x:col min="8" max="8" width="30" customWidth="1"/>
    <x:col min="9" max="9" width="12" customWidth="1"/>
    <x:col min="10" max="10" width="18" customWidth="1"/>
    <x:col min="11" max="11" width="36" customWidth="1"/>
  </x:cols>
  <x:sheetData>
    <x:row r="1" ht="44" customHeight="1">
      <x:c r="A1" s="1" t="s">
        <x:v>446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44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44" customHeight="1">
      <x:c r="A3" s="3" t="s">
        <x:v>447</x:v>
      </x:c>
      <x:c r="B3" s="3" t="s">
        <x:v>448</x:v>
      </x:c>
      <x:c r="C3" s="3" t="s">
        <x:v>449</x:v>
      </x:c>
      <x:c r="D3" s="3" t="s">
        <x:v>450</x:v>
      </x:c>
      <x:c r="E3" s="3" t="s">
        <x:v>451</x:v>
      </x:c>
      <x:c r="F3" s="3" t="s">
        <x:v>452</x:v>
      </x:c>
      <x:c r="G3" s="3" t="s">
        <x:v>453</x:v>
      </x:c>
      <x:c r="H3" s="3" t="s">
        <x:v>454</x:v>
      </x:c>
      <x:c r="I3" s="3" t="s">
        <x:v>455</x:v>
      </x:c>
      <x:c r="J3" s="3" t="s">
        <x:v>456</x:v>
      </x:c>
      <x:c r="K3" s="3" t="s">
        <x:v>457</x:v>
      </x:c>
    </x:row>
    <x:row r="4" ht="44" customHeight="1">
      <x:c r="A4" s="4" t="s">
        <x:v>458</x:v>
      </x:c>
      <x:c r="B4" s="4" t="s">
        <x:v>459</x:v>
      </x:c>
      <x:c r="C4" s="4" t="s">
        <x:v>460</x:v>
      </x:c>
      <x:c r="D4" s="4" t="s">
        <x:v>461</x:v>
      </x:c>
      <x:c r="E4" s="4" t="s">
        <x:v>462</x:v>
      </x:c>
      <x:c r="F4" s="4" t="s">
        <x:v>463</x:v>
      </x:c>
      <x:c r="G4" s="4" t="s">
        <x:v>464</x:v>
      </x:c>
      <x:c r="H4" s="4" t="s">
        <x:v>465</x:v>
      </x:c>
      <x:c r="I4" s="4" t="s">
        <x:v>380</x:v>
      </x:c>
      <x:c r="J4" s="4" t="s">
        <x:v>466</x:v>
      </x:c>
      <x:c r="K4" s="4" t="s">
        <x:v>467</x:v>
      </x:c>
    </x:row>
    <x:row r="5" ht="44" customHeight="1">
      <x:c r="A5" s="4" t="s">
        <x:v>468</x:v>
      </x:c>
      <x:c r="B5" s="4" t="s">
        <x:v>459</x:v>
      </x:c>
      <x:c r="C5" s="4" t="s">
        <x:v>469</x:v>
      </x:c>
      <x:c r="D5" s="4" t="s">
        <x:v>470</x:v>
      </x:c>
      <x:c r="E5" s="4" t="s">
        <x:v>471</x:v>
      </x:c>
      <x:c r="F5" s="4" t="s">
        <x:v>463</x:v>
      </x:c>
      <x:c r="G5" s="4" t="s">
        <x:v>472</x:v>
      </x:c>
      <x:c r="H5" s="4" t="s">
        <x:v>473</x:v>
      </x:c>
      <x:c r="I5" s="4" t="s">
        <x:v>380</x:v>
      </x:c>
      <x:c r="J5" s="4" t="s">
        <x:v>474</x:v>
      </x:c>
      <x:c r="K5" s="4" t="s">
        <x:v>475</x:v>
      </x:c>
    </x:row>
    <x:row r="6" ht="44" customHeight="1">
      <x:c r="A6" s="4" t="s">
        <x:v>476</x:v>
      </x:c>
      <x:c r="B6" s="4" t="s">
        <x:v>459</x:v>
      </x:c>
      <x:c r="C6" s="4" t="s">
        <x:v>477</x:v>
      </x:c>
      <x:c r="D6" s="4" t="s">
        <x:v>478</x:v>
      </x:c>
      <x:c r="E6" s="4" t="s">
        <x:v>479</x:v>
      </x:c>
      <x:c r="F6" s="4" t="s">
        <x:v>463</x:v>
      </x:c>
      <x:c r="G6" s="4" t="s">
        <x:v>480</x:v>
      </x:c>
      <x:c r="H6" s="4" t="s">
        <x:v>481</x:v>
      </x:c>
      <x:c r="I6" s="4" t="s">
        <x:v>380</x:v>
      </x:c>
      <x:c r="J6" s="4" t="s">
        <x:v>466</x:v>
      </x:c>
      <x:c r="K6" s="4" t="s">
        <x:v>482</x:v>
      </x:c>
    </x:row>
    <x:row r="7" ht="44" customHeight="1">
      <x:c r="A7" s="4" t="s">
        <x:v>483</x:v>
      </x:c>
      <x:c r="B7" s="4" t="s">
        <x:v>459</x:v>
      </x:c>
      <x:c r="C7" s="4" t="s">
        <x:v>484</x:v>
      </x:c>
      <x:c r="D7" s="4" t="s">
        <x:v>485</x:v>
      </x:c>
      <x:c r="E7" s="4" t="s">
        <x:v>486</x:v>
      </x:c>
      <x:c r="F7" s="4" t="s">
        <x:v>463</x:v>
      </x:c>
      <x:c r="G7" s="4" t="s">
        <x:v>487</x:v>
      </x:c>
      <x:c r="H7" s="4" t="s">
        <x:v>488</x:v>
      </x:c>
      <x:c r="I7" s="4" t="s">
        <x:v>380</x:v>
      </x:c>
      <x:c r="J7" s="4" t="s">
        <x:v>489</x:v>
      </x:c>
      <x:c r="K7" s="4" t="s">
        <x:v>490</x:v>
      </x:c>
    </x:row>
    <x:row r="8" ht="44" customHeight="1">
      <x:c r="A8" s="4" t="s">
        <x:v>491</x:v>
      </x:c>
      <x:c r="B8" s="4" t="s">
        <x:v>492</x:v>
      </x:c>
      <x:c r="C8" s="4" t="s">
        <x:v>493</x:v>
      </x:c>
      <x:c r="D8" s="4" t="s">
        <x:v>494</x:v>
      </x:c>
      <x:c r="E8" s="4" t="s">
        <x:v>495</x:v>
      </x:c>
      <x:c r="F8" s="4" t="s">
        <x:v>496</x:v>
      </x:c>
      <x:c r="G8" s="4" t="s">
        <x:v>497</x:v>
      </x:c>
      <x:c r="H8" s="4" t="s">
        <x:v>498</x:v>
      </x:c>
      <x:c r="I8" s="4" t="s">
        <x:v>499</x:v>
      </x:c>
      <x:c r="J8" s="4" t="s">
        <x:v>500</x:v>
      </x:c>
      <x:c r="K8" s="4" t="s">
        <x:v>501</x:v>
      </x:c>
    </x:row>
    <x:row r="9" ht="44" customHeight="1">
      <x:c r="A9" s="4" t="s">
        <x:v>502</x:v>
      </x:c>
      <x:c r="B9" s="4" t="s">
        <x:v>492</x:v>
      </x:c>
      <x:c r="C9" s="4" t="s">
        <x:v>503</x:v>
      </x:c>
      <x:c r="D9" s="4" t="s">
        <x:v>504</x:v>
      </x:c>
      <x:c r="E9" s="4" t="s">
        <x:v>505</x:v>
      </x:c>
      <x:c r="F9" s="4" t="s">
        <x:v>506</x:v>
      </x:c>
      <x:c r="G9" s="4" t="s">
        <x:v>507</x:v>
      </x:c>
      <x:c r="H9" s="4" t="s">
        <x:v>508</x:v>
      </x:c>
      <x:c r="I9" s="4" t="s">
        <x:v>509</x:v>
      </x:c>
      <x:c r="J9" s="4" t="s">
        <x:v>510</x:v>
      </x:c>
      <x:c r="K9" s="4" t="s">
        <x:v>511</x:v>
      </x:c>
    </x:row>
    <x:row r="10" ht="44" customHeight="1">
      <x:c r="A10" s="4" t="s">
        <x:v>512</x:v>
      </x:c>
      <x:c r="B10" s="4" t="s">
        <x:v>492</x:v>
      </x:c>
      <x:c r="C10" s="4" t="s">
        <x:v>513</x:v>
      </x:c>
      <x:c r="D10" s="4" t="s">
        <x:v>514</x:v>
      </x:c>
      <x:c r="E10" s="4" t="s">
        <x:v>515</x:v>
      </x:c>
      <x:c r="F10" s="4" t="s">
        <x:v>463</x:v>
      </x:c>
      <x:c r="G10" s="4" t="s">
        <x:v>516</x:v>
      </x:c>
      <x:c r="H10" s="4" t="s">
        <x:v>517</x:v>
      </x:c>
      <x:c r="I10" s="4" t="s">
        <x:v>380</x:v>
      </x:c>
      <x:c r="J10" s="4" t="s">
        <x:v>518</x:v>
      </x:c>
      <x:c r="K10" s="4" t="s">
        <x:v>519</x:v>
      </x:c>
    </x:row>
    <x:row r="11" ht="44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</x:row>
    <x:row r="12" ht="44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</x:row>
    <x:row r="13" ht="4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</x:row>
    <x:row r="14" ht="44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</x:row>
    <x:row r="15" ht="14.399999618530273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14.39999961853027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 ht="14.399999618530273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 ht="14.39999961853027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 ht="14.39999961853027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 ht="14.39999961853027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 ht="14.39999961853027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 ht="14.39999961853027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 ht="14.39999961853027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 ht="14.39999961853027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 ht="14.39999961853027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 ht="14.39999961853027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 ht="14.39999961853027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 ht="14.39999961853027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 ht="14.399999618530273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 ht="14.399999618530273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 ht="14.399999618530273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 ht="14.399999618530273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  <x:row r="33" ht="14.39999961853027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  <x:row r="34" ht="14.399999618530273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  <x:row r="35" ht="14.399999618530273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 ht="14.399999618530273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  <x:row r="37" ht="14.399999618530273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 ht="14.399999618530273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 ht="14.399999618530273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 ht="14.399999618530273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  <x:row r="41" ht="14.399999618530273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</x:row>
    <x:row r="42" ht="14.399999618530273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  <x:row r="43" ht="14.399999618530273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</x:row>
    <x:row r="44" ht="14.399999618530273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</x:row>
    <x:row r="45" ht="14.399999618530273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</x:row>
  </x:sheetData>
  <x:mergeCells>
    <x:mergeCell ref="A1:H1"/>
    <x:mergeCell ref="A1:K1"/>
    <x:mergeCell ref="A2:H2"/>
    <x:mergeCell ref="A35:H35"/>
    <x:mergeCell ref="A36:H40"/>
    <x:mergeCell ref="A42:H45"/>
  </x:mergeCells>
  <x:pageMargins left="0.7" right="0.7" top="0.75" bottom="0.75" header="0.3" footer="0.3"/>
  <x:tableParts count="1">
    <x:tablePart xmlns:r="http://schemas.openxmlformats.org/officeDocument/2006/relationships" r:id="Rca5f7ec28aca40b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ColWidth="9" defaultRowHeight="15"/>
  <x:cols>
    <x:col min="1" max="1" width="14" customWidth="1"/>
    <x:col min="2" max="2" width="24" customWidth="1"/>
    <x:col min="3" max="3" width="30" customWidth="1"/>
    <x:col min="4" max="4" width="34" customWidth="1"/>
    <x:col min="5" max="5" width="42" customWidth="1"/>
    <x:col min="6" max="7" width="12" customWidth="1"/>
    <x:col min="8" max="9" width="18" customWidth="1"/>
    <x:col min="10" max="10" width="24" customWidth="1"/>
  </x:cols>
  <x:sheetData>
    <x:row r="1" ht="48" customHeight="1">
      <x:c r="A1" s="1" t="s">
        <x:v>520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ht="48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</x:row>
    <x:row r="3" ht="48" customHeight="1">
      <x:c r="A3" s="3" t="s">
        <x:v>521</x:v>
      </x:c>
      <x:c r="B3" s="3" t="s">
        <x:v>522</x:v>
      </x:c>
      <x:c r="C3" s="3" t="s">
        <x:v>523</x:v>
      </x:c>
      <x:c r="D3" s="3" t="s">
        <x:v>524</x:v>
      </x:c>
      <x:c r="E3" s="3" t="s">
        <x:v>525</x:v>
      </x:c>
      <x:c r="F3" s="3" t="s">
        <x:v>38</x:v>
      </x:c>
      <x:c r="G3" s="3" t="s">
        <x:v>40</x:v>
      </x:c>
      <x:c r="H3" s="3" t="s">
        <x:v>526</x:v>
      </x:c>
      <x:c r="I3" s="3" t="s">
        <x:v>527</x:v>
      </x:c>
      <x:c r="J3" s="3" t="s">
        <x:v>528</x:v>
      </x:c>
    </x:row>
    <x:row r="4" ht="48" customHeight="1">
      <x:c r="A4" s="4" t="s">
        <x:v>529</x:v>
      </x:c>
      <x:c r="B4" s="4" t="s">
        <x:v>530</x:v>
      </x:c>
      <x:c r="C4" s="4" t="s">
        <x:v>531</x:v>
      </x:c>
      <x:c r="D4" s="4" t="s">
        <x:v>532</x:v>
      </x:c>
      <x:c r="E4" s="4" t="s">
        <x:v>533</x:v>
      </x:c>
      <x:c r="F4" s="4" t="s">
        <x:v>121</x:v>
      </x:c>
      <x:c r="G4" s="4" t="s">
        <x:v>534</x:v>
      </x:c>
      <x:c r="H4" s="4" t="s">
        <x:v>535</x:v>
      </x:c>
      <x:c r="I4" s="4" t="s">
        <x:v>222</x:v>
      </x:c>
      <x:c r="J4" s="4" t="s">
        <x:v>65</x:v>
      </x:c>
    </x:row>
    <x:row r="5" ht="48" customHeight="1">
      <x:c r="A5" s="4" t="s">
        <x:v>536</x:v>
      </x:c>
      <x:c r="B5" s="4" t="s">
        <x:v>537</x:v>
      </x:c>
      <x:c r="C5" s="4" t="s">
        <x:v>538</x:v>
      </x:c>
      <x:c r="D5" s="4" t="s">
        <x:v>539</x:v>
      </x:c>
      <x:c r="E5" s="4" t="s">
        <x:v>540</x:v>
      </x:c>
      <x:c r="F5" s="4" t="s">
        <x:v>121</x:v>
      </x:c>
      <x:c r="G5" s="4" t="s">
        <x:v>534</x:v>
      </x:c>
      <x:c r="H5" s="4" t="s">
        <x:v>541</x:v>
      </x:c>
      <x:c r="I5" s="4" t="s">
        <x:v>231</x:v>
      </x:c>
      <x:c r="J5" s="4" t="s">
        <x:v>65</x:v>
      </x:c>
    </x:row>
    <x:row r="6" ht="48" customHeight="1">
      <x:c r="A6" s="4" t="s">
        <x:v>542</x:v>
      </x:c>
      <x:c r="B6" s="4" t="s">
        <x:v>543</x:v>
      </x:c>
      <x:c r="C6" s="4" t="s">
        <x:v>544</x:v>
      </x:c>
      <x:c r="D6" s="4" t="s">
        <x:v>545</x:v>
      </x:c>
      <x:c r="E6" s="4" t="s">
        <x:v>546</x:v>
      </x:c>
      <x:c r="F6" s="4" t="s">
        <x:v>108</x:v>
      </x:c>
      <x:c r="G6" s="4" t="s">
        <x:v>534</x:v>
      </x:c>
      <x:c r="H6" s="4" t="s">
        <x:v>535</x:v>
      </x:c>
      <x:c r="I6" s="4" t="s">
        <x:v>547</x:v>
      </x:c>
      <x:c r="J6" s="4" t="s">
        <x:v>65</x:v>
      </x:c>
    </x:row>
    <x:row r="7" ht="48" customHeight="1">
      <x:c r="A7" s="4" t="s">
        <x:v>548</x:v>
      </x:c>
      <x:c r="B7" s="4" t="s">
        <x:v>549</x:v>
      </x:c>
      <x:c r="C7" s="4" t="s">
        <x:v>550</x:v>
      </x:c>
      <x:c r="D7" s="4" t="s">
        <x:v>551</x:v>
      </x:c>
      <x:c r="E7" s="4" t="s">
        <x:v>552</x:v>
      </x:c>
      <x:c r="F7" s="4" t="s">
        <x:v>95</x:v>
      </x:c>
      <x:c r="G7" s="4" t="s">
        <x:v>553</x:v>
      </x:c>
      <x:c r="H7" s="4" t="s">
        <x:v>554</x:v>
      </x:c>
      <x:c r="I7" s="4" t="s">
        <x:v>245</x:v>
      </x:c>
      <x:c r="J7" s="4" t="s">
        <x:v>65</x:v>
      </x:c>
    </x:row>
    <x:row r="8" ht="48" customHeight="1">
      <x:c r="A8" s="4" t="s">
        <x:v>555</x:v>
      </x:c>
      <x:c r="B8" s="4" t="s">
        <x:v>556</x:v>
      </x:c>
      <x:c r="C8" s="4" t="s">
        <x:v>557</x:v>
      </x:c>
      <x:c r="D8" s="4" t="s">
        <x:v>558</x:v>
      </x:c>
      <x:c r="E8" s="4" t="s">
        <x:v>559</x:v>
      </x:c>
      <x:c r="F8" s="4" t="s">
        <x:v>108</x:v>
      </x:c>
      <x:c r="G8" s="4" t="s">
        <x:v>534</x:v>
      </x:c>
      <x:c r="H8" s="4" t="s">
        <x:v>560</x:v>
      </x:c>
      <x:c r="I8" s="4" t="s">
        <x:v>253</x:v>
      </x:c>
      <x:c r="J8" s="4" t="s">
        <x:v>65</x:v>
      </x:c>
    </x:row>
    <x:row r="9" ht="48" customHeight="1">
      <x:c r="A9" s="4" t="s">
        <x:v>561</x:v>
      </x:c>
      <x:c r="B9" s="4" t="s">
        <x:v>331</x:v>
      </x:c>
      <x:c r="C9" s="4" t="s">
        <x:v>562</x:v>
      </x:c>
      <x:c r="D9" s="4" t="s">
        <x:v>563</x:v>
      </x:c>
      <x:c r="E9" s="4" t="s">
        <x:v>564</x:v>
      </x:c>
      <x:c r="F9" s="4" t="s">
        <x:v>95</x:v>
      </x:c>
      <x:c r="G9" s="4" t="s">
        <x:v>534</x:v>
      </x:c>
      <x:c r="H9" s="4" t="s">
        <x:v>565</x:v>
      </x:c>
      <x:c r="I9" s="4" t="s">
        <x:v>566</x:v>
      </x:c>
      <x:c r="J9" s="4" t="s">
        <x:v>65</x:v>
      </x:c>
    </x:row>
    <x:row r="10" ht="48" customHeight="1">
      <x:c r="A10" s="4" t="s">
        <x:v>567</x:v>
      </x:c>
      <x:c r="B10" s="4" t="s">
        <x:v>568</x:v>
      </x:c>
      <x:c r="C10" s="4" t="s">
        <x:v>569</x:v>
      </x:c>
      <x:c r="D10" s="4" t="s">
        <x:v>570</x:v>
      </x:c>
      <x:c r="E10" s="4" t="s">
        <x:v>571</x:v>
      </x:c>
      <x:c r="F10" s="4" t="s">
        <x:v>121</x:v>
      </x:c>
      <x:c r="G10" s="4" t="s">
        <x:v>572</x:v>
      </x:c>
      <x:c r="H10" s="4" t="s">
        <x:v>573</x:v>
      </x:c>
      <x:c r="I10" s="4" t="s">
        <x:v>335</x:v>
      </x:c>
      <x:c r="J10" s="4" t="s">
        <x:v>65</x:v>
      </x:c>
    </x:row>
    <x:row r="11" ht="48" customHeight="1">
      <x:c r="A11" s="4" t="s">
        <x:v>574</x:v>
      </x:c>
      <x:c r="B11" s="4" t="s">
        <x:v>575</x:v>
      </x:c>
      <x:c r="C11" s="4" t="s">
        <x:v>576</x:v>
      </x:c>
      <x:c r="D11" s="4" t="s">
        <x:v>577</x:v>
      </x:c>
      <x:c r="E11" s="4" t="s">
        <x:v>578</x:v>
      </x:c>
      <x:c r="F11" s="4" t="s">
        <x:v>121</x:v>
      </x:c>
      <x:c r="G11" s="4" t="s">
        <x:v>534</x:v>
      </x:c>
      <x:c r="H11" s="4" t="s">
        <x:v>579</x:v>
      </x:c>
      <x:c r="I11" s="4" t="s">
        <x:v>580</x:v>
      </x:c>
      <x:c r="J11" s="4" t="s">
        <x:v>65</x:v>
      </x:c>
    </x:row>
    <x:row r="12" ht="48" customHeight="1">
      <x:c r="A12" s="4" t="s">
        <x:v>581</x:v>
      </x:c>
      <x:c r="B12" s="4" t="s">
        <x:v>582</x:v>
      </x:c>
      <x:c r="C12" s="4" t="s">
        <x:v>583</x:v>
      </x:c>
      <x:c r="D12" s="4" t="s">
        <x:v>584</x:v>
      </x:c>
      <x:c r="E12" s="4" t="s">
        <x:v>585</x:v>
      </x:c>
      <x:c r="F12" s="4" t="s">
        <x:v>108</x:v>
      </x:c>
      <x:c r="G12" s="4" t="s">
        <x:v>572</x:v>
      </x:c>
      <x:c r="H12" s="4" t="s">
        <x:v>586</x:v>
      </x:c>
      <x:c r="I12" s="4" t="s">
        <x:v>343</x:v>
      </x:c>
      <x:c r="J12" s="4" t="s">
        <x:v>65</x:v>
      </x:c>
    </x:row>
    <x:row r="13" ht="48" customHeight="1">
      <x:c r="A13" s="4" t="s">
        <x:v>587</x:v>
      </x:c>
      <x:c r="B13" s="4" t="s">
        <x:v>588</x:v>
      </x:c>
      <x:c r="C13" s="4" t="s">
        <x:v>589</x:v>
      </x:c>
      <x:c r="D13" s="4" t="s">
        <x:v>590</x:v>
      </x:c>
      <x:c r="E13" s="4" t="s">
        <x:v>591</x:v>
      </x:c>
      <x:c r="F13" s="4" t="s">
        <x:v>108</x:v>
      </x:c>
      <x:c r="G13" s="4" t="s">
        <x:v>572</x:v>
      </x:c>
      <x:c r="H13" s="4" t="s">
        <x:v>592</x:v>
      </x:c>
      <x:c r="I13" s="4" t="s">
        <x:v>593</x:v>
      </x:c>
      <x:c r="J13" s="4" t="s">
        <x:v>65</x:v>
      </x:c>
    </x:row>
    <x:row r="14" ht="48" customHeight="1">
      <x:c r="A14" s="4" t="s">
        <x:v>594</x:v>
      </x:c>
      <x:c r="B14" s="4" t="s">
        <x:v>345</x:v>
      </x:c>
      <x:c r="C14" s="4" t="s">
        <x:v>595</x:v>
      </x:c>
      <x:c r="D14" s="4" t="s">
        <x:v>596</x:v>
      </x:c>
      <x:c r="E14" s="4" t="s">
        <x:v>597</x:v>
      </x:c>
      <x:c r="F14" s="4" t="s">
        <x:v>121</x:v>
      </x:c>
      <x:c r="G14" s="4" t="s">
        <x:v>534</x:v>
      </x:c>
      <x:c r="H14" s="4" t="s">
        <x:v>598</x:v>
      </x:c>
      <x:c r="I14" s="4" t="s">
        <x:v>599</x:v>
      </x:c>
      <x:c r="J14" s="4" t="s">
        <x:v>65</x:v>
      </x:c>
    </x:row>
    <x:row r="15" ht="48" customHeight="1">
      <x:c r="A15" s="4" t="s">
        <x:v>600</x:v>
      </x:c>
      <x:c r="B15" s="4" t="s">
        <x:v>601</x:v>
      </x:c>
      <x:c r="C15" s="4" t="s">
        <x:v>602</x:v>
      </x:c>
      <x:c r="D15" s="4" t="s">
        <x:v>603</x:v>
      </x:c>
      <x:c r="E15" s="4" t="s">
        <x:v>604</x:v>
      </x:c>
      <x:c r="F15" s="4" t="s">
        <x:v>108</x:v>
      </x:c>
      <x:c r="G15" s="4" t="s">
        <x:v>605</x:v>
      </x:c>
      <x:c r="H15" s="4" t="s">
        <x:v>606</x:v>
      </x:c>
      <x:c r="I15" s="4" t="s">
        <x:v>607</x:v>
      </x:c>
      <x:c r="J15" s="4" t="s">
        <x:v>65</x:v>
      </x:c>
    </x:row>
    <x:row r="16" ht="48" customHeight="1">
      <x:c r="A16" s="4" t="s">
        <x:v>608</x:v>
      </x:c>
      <x:c r="B16" s="4" t="s">
        <x:v>609</x:v>
      </x:c>
      <x:c r="C16" s="4" t="s">
        <x:v>610</x:v>
      </x:c>
      <x:c r="D16" s="4" t="s">
        <x:v>611</x:v>
      </x:c>
      <x:c r="E16" s="4" t="s">
        <x:v>612</x:v>
      </x:c>
      <x:c r="F16" s="4" t="s">
        <x:v>58</x:v>
      </x:c>
      <x:c r="G16" s="4" t="s">
        <x:v>534</x:v>
      </x:c>
      <x:c r="H16" s="4" t="s">
        <x:v>613</x:v>
      </x:c>
      <x:c r="I16" s="4" t="s">
        <x:v>614</x:v>
      </x:c>
      <x:c r="J16" s="4" t="s">
        <x:v>65</x:v>
      </x:c>
    </x:row>
    <x:row r="17" ht="48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 ht="48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</x:sheetData>
  <x:mergeCells>
    <x:mergeCell ref="A1:J1"/>
  </x:mergeCells>
  <x:pageMargins left="0.7" right="0.7" top="0.75" bottom="0.75" header="0.3" footer="0.3"/>
</x:worksheet>
</file>