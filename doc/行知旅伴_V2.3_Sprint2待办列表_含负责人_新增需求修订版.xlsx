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实训\outputs\01a03be1-72a4-7842-82c4-19ee6b668f6b\"/>
    </mc:Choice>
  </mc:AlternateContent>
  <bookViews>
    <workbookView windowWidth="21094" windowHeight="9805"/>
  </bookViews>
  <sheets>
    <sheet name="版权说明" sheetId="4" r:id="rId1"/>
    <sheet name="SprintBacklog模板" sheetId="2" r:id="rId2"/>
    <sheet name="燃尽图" sheetId="5" r:id="rId3"/>
    <sheet name="PBI追溯" sheetId="6" r:id="rId4"/>
    <sheet name="LLM接入设计" sheetId="7" r:id="rId5"/>
    <sheet name="LLM JSON契约" sheetId="8" r:id="rId6"/>
    <sheet name="用户功能验收清单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</authors>
  <commentList>
    <comment ref="C1" authorId="0">
      <text>
        <r>
          <rPr>
            <sz val="10"/>
            <rFont val="宋体"/>
            <charset val="134"/>
          </rPr>
          <t>作者:
示例团队的速率为80个故事点</t>
        </r>
      </text>
    </comment>
    <comment ref="E1" authorId="0">
      <text>
        <r>
          <rPr>
            <sz val="10"/>
            <rFont val="宋体"/>
            <charset val="134"/>
          </rPr>
          <t>作者:
优先级预留后面两位，使调整优先级的时候更加方便</t>
        </r>
      </text>
    </comment>
    <comment ref="G3" authorId="0">
      <text>
        <r>
          <rPr>
            <sz val="10"/>
            <rFont val="宋体"/>
            <charset val="134"/>
          </rPr>
          <t>作者:
Sprint承诺完成600h工作量</t>
        </r>
      </text>
    </comment>
  </commentList>
</comments>
</file>

<file path=xl/sharedStrings.xml><?xml version="1.0" encoding="utf-8"?>
<sst xmlns="http://schemas.openxmlformats.org/spreadsheetml/2006/main" count="1004" uniqueCount="618">
  <si>
    <t>行知旅伴 V2.3 · Sprint 2 待办列表（新增需求修订版）</t>
  </si>
  <si>
    <t>本版落实：固定六问对话式收集、一次性邀请链接、多人会话隔离、READY_TO_PLAN 门禁、FactRef 白名单推荐、用户功能验收清单，并修复燃尽/PBI追溯/动态公式缺陷。</t>
  </si>
  <si>
    <t>直接基线</t>
  </si>
  <si>
    <t>实际存在并内容匹配的文件：C:/Users/lenovo/Desktop/实训/outputs/01a03be1-72a4-7842-82c4-19ee6b668f6b/行知旅伴_V2.3_Sprint2待办列表_含负责人 (2).xlsx</t>
  </si>
  <si>
    <t>用户引用路径核对</t>
  </si>
  <si>
    <t>用户给出的“前端统一负责人_用户故事修订版.xlsx”路径不存在；候选文件版权说明 A1 自标“前端统一负责人 / 用户故事修订版”，故采用候选文件为直接基线。</t>
  </si>
  <si>
    <t>Sprint Goal</t>
  </si>
  <si>
    <t>以固定六问完成组织者和成员资料收集；全员确认且硬冲突解决后，基于高德/缓存 FactRef 签发唯一公平推荐，并完成执行、照片、LATE/FATIGUE V2、回忆页和响应式公网验收。</t>
  </si>
  <si>
    <t>范围决策</t>
  </si>
  <si>
    <t>独立邀请加入从 Future 提升进 Sprint 2；S2 主入口改为固定六问，不再以目的地/日期/预算/兴趣并排手工表单为主要入口。</t>
  </si>
  <si>
    <t>安全边界</t>
  </si>
  <si>
    <t>千问只提取/解释；高德只提供地点/路线/价格/设施事实；后端确定性模块负责冲突、评分、排序、PASS、状态迁移；前端只收集、展示、确认。</t>
  </si>
  <si>
    <t>工时口径</t>
  </si>
  <si>
    <t>原计划 48h；纯新增 12h；修订后 60h。按当前主线代码和测试证据保守估算已完成/基本完成约 25h，剩余约 35h。</t>
  </si>
  <si>
    <t>人员决策</t>
  </si>
  <si>
    <t>证据口径</t>
  </si>
  <si>
    <t>只按已合入当前 main、可测试、可从用户入口验证计入；分支或局部骨架不算完成。</t>
  </si>
  <si>
    <t>仓库核验</t>
  </si>
  <si>
    <t>当前仓库：C:/Users/lenovo/Desktop/实训/2026lindashixun12zu；main 比 origin/main ahead 5；已只读检查，未改项目代码。</t>
  </si>
  <si>
    <t>修订日期</t>
  </si>
  <si>
    <t>2026-08-27</t>
  </si>
  <si>
    <t>输出文件</t>
  </si>
  <si>
    <t>C:/Users/lenovo/Desktop/实训/outputs/01a03be1-72a4-7842-82c4-19ee6b668f6b/行知旅伴_V2.3_Sprint2待办列表_含负责人_新增需求修订版.xlsx</t>
  </si>
  <si>
    <t>仍需人工确认</t>
  </si>
  <si>
    <t>公网真实高德 Key、百炼 Key、两成员多浏览器录屏、375/768 截图、老师验收签字。</t>
  </si>
  <si>
    <t>燃尽图由 SprintBacklog模板 中的数据自动生成。</t>
  </si>
  <si>
    <t>本模板由Scrum中文网提供，欢迎推荐给任何在实践Scrum的朋友使用。</t>
  </si>
  <si>
    <t>Scrum中文网(ScrumCN.COM)版权所有</t>
  </si>
  <si>
    <t>Task-ID</t>
  </si>
  <si>
    <t>PBI-ID</t>
  </si>
  <si>
    <t>AC-ID</t>
  </si>
  <si>
    <t>用户故事（用户可理解）</t>
  </si>
  <si>
    <t>团队执行 Task（内部）</t>
  </si>
  <si>
    <t>优先级</t>
  </si>
  <si>
    <t>PBI Story Point
（不换算工时）</t>
  </si>
  <si>
    <t>估算/剩余（小时）</t>
  </si>
  <si>
    <t>计划完成日</t>
  </si>
  <si>
    <t>前置依赖</t>
  </si>
  <si>
    <t>负责人</t>
  </si>
  <si>
    <t>可协作人 / 动态评审</t>
  </si>
  <si>
    <t>状态</t>
  </si>
  <si>
    <t>验收条件</t>
  </si>
  <si>
    <t>交付证据</t>
  </si>
  <si>
    <t>Day1 计划</t>
  </si>
  <si>
    <t>Day1 实际</t>
  </si>
  <si>
    <t>Day2 计划</t>
  </si>
  <si>
    <t>Day2 实际</t>
  </si>
  <si>
    <t>Day3 计划</t>
  </si>
  <si>
    <t>Day3 实际</t>
  </si>
  <si>
    <t>完成判定</t>
  </si>
  <si>
    <t>S2-T001</t>
  </si>
  <si>
    <t>PBI-07-A</t>
  </si>
  <si>
    <t>AC-07-A</t>
  </si>
  <si>
    <t>作为组织者，我想在规划前先让系统理解 2-3 人需求并生成确认项，以免成员信息缺失或冲突。</t>
  </si>
  <si>
    <t>收尾 TripDraft 多人 JSON 契约、成员卡、字段证据、缺项/歧义/关怀草稿 Fixture。</t>
  </si>
  <si>
    <t>Must</t>
  </si>
  <si>
    <t>Day1</t>
  </si>
  <si>
    <t>现有 TripDraft/千问示例</t>
  </si>
  <si>
    <t>陈梓元</t>
  </si>
  <si>
    <t>张琪评审</t>
  </si>
  <si>
    <t>基本完成</t>
  </si>
  <si>
    <t>Schema extra=forbid；2/3 人 Fixture；模型只产草稿。</t>
  </si>
  <si>
    <t>app/domain/trip_draft.py；backend/tests/test_trip_draft_llm_integration.py</t>
  </si>
  <si>
    <t>S2-T002</t>
  </si>
  <si>
    <t>作为组织者，我想确认同一份草稿而不是每次重复解析，以便减少模型调用并保证可追溯。</t>
  </si>
  <si>
    <t>收尾 draftId/revision 保存、确认复用、关键字段修改后旧确认失效。</t>
  </si>
  <si>
    <t/>
  </si>
  <si>
    <t>林粲涵评审</t>
  </si>
  <si>
    <t>进行中</t>
  </si>
  <si>
    <t>一次确认流程只解析一次；修改对应问题后重新解析。</t>
  </si>
  <si>
    <t>app/application/trip_draft_service.py；待补调用计数验收</t>
  </si>
  <si>
    <t>S2-T003</t>
  </si>
  <si>
    <t>作为组织者，我想在全员确认前看到定位到成员的硬冲突，以便先协商再规划。</t>
  </si>
  <si>
    <t>收尾多人必填、时间、预算和硬冲突校验，输出 participantId/ruleId/原因/可放宽项。</t>
  </si>
  <si>
    <t>S2-T001,S2-T002</t>
  </si>
  <si>
    <t>未确认或硬冲突未解决时 Provider/推荐/规划调用均为 0。</t>
  </si>
  <si>
    <t>app/infrastructure/collaboration_store.py；backend/tests/test_collaboration_store.py</t>
  </si>
  <si>
    <t>S2-T004</t>
  </si>
  <si>
    <t>作为用户，我希望模型失败时还能用固定问题补全需求，以便不被卡住。</t>
  </si>
  <si>
    <t>收尾百炼/qwen 接入超时、一次传输重试、非法 JSON 降级。</t>
  </si>
  <si>
    <t>Day2</t>
  </si>
  <si>
    <t>S2-T001~T003</t>
  </si>
  <si>
    <t>超时 8-12 秒；失败回规则/表单；不写正式状态。</t>
  </si>
  <si>
    <t>app/infrastructure/bailian.py；doc/ai_usage.md</t>
  </si>
  <si>
    <t>S2-T005</t>
  </si>
  <si>
    <t>PBI-11-A</t>
  </si>
  <si>
    <t>AC-11-A</t>
  </si>
  <si>
    <t>作为用户，我想 1/2/3 人执行流程都能开始、完成、调整和恢复，以便多人不破坏旧流程。</t>
  </si>
  <si>
    <t>收尾 1/2/3 人执行与版本兼容层。</t>
  </si>
  <si>
    <t>未开始</t>
  </si>
  <si>
    <t>唯一 CURRENT；接受/拒绝原子切换；三组回归。</t>
  </si>
  <si>
    <t>app/application/plan_service.py；待补 2/3 人前端回归</t>
  </si>
  <si>
    <t>S2-T006</t>
  </si>
  <si>
    <t>PBI-08-A</t>
  </si>
  <si>
    <t>AC-08-A</t>
  </si>
  <si>
    <t>作为用户，我想推荐只基于真实地点事实，以便模型不能编造价格或路线。</t>
  </si>
  <si>
    <t>从陈梓元转给张琪：FactRef 注册、摘要与签发边界收尾。</t>
  </si>
  <si>
    <t>Provider/cache</t>
  </si>
  <si>
    <t>张琪</t>
  </si>
  <si>
    <t>陈梓元交接</t>
  </si>
  <si>
    <t>无有效 FactRef/digest 不进入规划；篡改零写入。</t>
  </si>
  <si>
    <t>app/application/recommendation_service.py；backend/tests/test_s2_t009_recommendation_orchestration.py</t>
  </si>
  <si>
    <t>S2-T007</t>
  </si>
  <si>
    <t>作为用户，我想看到每位成员得分与扣分原因，以便理解公平推荐。</t>
  </si>
  <si>
    <t>服务端满意度与公平裁决：最低分、平均分、费用、绕路、稳定 ID。</t>
  </si>
  <si>
    <t>多人 Fixture</t>
  </si>
  <si>
    <t>已完成</t>
  </si>
  <si>
    <t>客户端自报 satisfactionLoss 不能改变排序。</t>
  </si>
  <si>
    <t>app/services/fairness.py；backend/tests/test_s2_t007_fairness.py</t>
  </si>
  <si>
    <t>S2-T008</t>
  </si>
  <si>
    <t>作为用户，我希望 AI 只在可信地点白名单里排序，以便推荐仍可验证。</t>
  </si>
  <si>
    <t>千问候选提议 Gateway：只返回白名单 ID、顺序、短理由、风险提示。</t>
  </si>
  <si>
    <t>林粲涵</t>
  </si>
  <si>
    <t>非 JSON/越界/重复/额外字段直接确定性回退，不修复重试。</t>
  </si>
  <si>
    <t>app/infrastructure/openai_compatible_llm.py；backend/tests/test_s2_t008_candidate_selection_gateway.py</t>
  </si>
  <si>
    <t>S2-T009</t>
  </si>
  <si>
    <t>作为用户，我想得到唯一且兼顾成员的推荐方案，以便不用在多个方案间猜。</t>
  </si>
  <si>
    <t>推荐编排接口：恢复 FactRef、调用千问、白名单校验、真实路线候选、公平排序。</t>
  </si>
  <si>
    <t>S2-T006,T007,T008</t>
  </si>
  <si>
    <t>最终只返回一个方案；模型失败走确定性枚举。</t>
  </si>
  <si>
    <t>app/api/recommendation_routes.py；backend/tests/test_s2_t009_recommendation_orchestration.py</t>
  </si>
  <si>
    <t>S2-T010</t>
  </si>
  <si>
    <t>作为用户，我想在页面上确认成员信息和唯一推荐，以便看懂妥协点后继续。</t>
  </si>
  <si>
    <t>需求确认与公平推荐前端收尾：成员确认卡、来源、成绩、扣分、照顾点、唯一方案。</t>
  </si>
  <si>
    <t>S2-T002,S2-T009</t>
  </si>
  <si>
    <t>王敬博</t>
  </si>
  <si>
    <t>陈梓元提供 Fixture</t>
  </si>
  <si>
    <t>技术证据默认折叠；更正回对应问题。</t>
  </si>
  <si>
    <t>frontend/src/pages/ConversationPlannerPage.tsx；RecommendationPage.tsx；待公网验收</t>
  </si>
  <si>
    <t>S2-T011</t>
  </si>
  <si>
    <t>PBI-10-A</t>
  </si>
  <si>
    <t>AC-10-A</t>
  </si>
  <si>
    <t>作为用户，我想上传照片时自动压缩并去除隐私信息，以便安全保存旅程。</t>
  </si>
  <si>
    <t>前端重编码压缩至 1.5MB 以下并移除 EXIF。</t>
  </si>
  <si>
    <t>浏览器 FileReader</t>
  </si>
  <si>
    <t>失败有可见提示，不阻断任务完成。</t>
  </si>
  <si>
    <t>frontend/src/components/TaskPhotoCard.tsx</t>
  </si>
  <si>
    <t>S2-T012</t>
  </si>
  <si>
    <t>作为用户，我想每站保存、替换或删除照片，以便回忆页只展示有效照片。</t>
  </si>
  <si>
    <t>照片上传、绑定任务、预览、替换、删除及每站 1 张/全程 8 张限制。</t>
  </si>
  <si>
    <t>张琪提供接口</t>
  </si>
  <si>
    <t>第 9 张被阻止；删除后执行页和回忆页消失。</t>
  </si>
  <si>
    <t>frontend/src/components/TaskPhotoCard.tsx；app/api/media_routes.py；待 8 张验收</t>
  </si>
  <si>
    <t>S2-T013</t>
  </si>
  <si>
    <t>PBI-09-A</t>
  </si>
  <si>
    <t>AC-09-A</t>
  </si>
  <si>
    <t>作为用户，我想主动定位一次确认到达，以便不被持续追踪。</t>
  </si>
  <si>
    <t>LocationEvidence/ArrivalEvidence 契约与幂等键。</t>
  </si>
  <si>
    <t>ExecutionEvent/Provider事实</t>
  </si>
  <si>
    <t>不包含 watchPosition 或持续定位状态。</t>
  </si>
  <si>
    <t>app/api/arrival_evidence_routes.py；backend/tests/test_s2_t013_arrival_evidence.py</t>
  </si>
  <si>
    <t>S2-T014</t>
  </si>
  <si>
    <t>作为用户，我想知道定位成功、过远、拒绝、超时或低精度时该怎么办。</t>
  </si>
  <si>
    <t>服务端距离计算与五类确定性到达判断。</t>
  </si>
  <si>
    <t>王敬博评审</t>
  </si>
  <si>
    <t>accuracy&lt;=100m 且 distance&lt;=max(150m,2*accuracy) 才自动到达。</t>
  </si>
  <si>
    <t>app/application/arrival_decision_service.py；backend/tests/test_s2_t014_arrival_decision.py</t>
  </si>
  <si>
    <t>S2-T015</t>
  </si>
  <si>
    <t>作为用户，我想在当前任务卡上一键定位并人工确认失败情况，以便继续旅程。</t>
  </si>
  <si>
    <t>一次定位前端 getCurrentPosition、结果展示、人工确认/取消。</t>
  </si>
  <si>
    <t>S2-T013,T014</t>
  </si>
  <si>
    <t>张琪提供 Fixture</t>
  </si>
  <si>
    <t>不调用 watchPosition；五状态可见。</t>
  </si>
  <si>
    <t>frontend/src/pages/WorkspacePage.tsx；待 375/768 录屏</t>
  </si>
  <si>
    <t>S2-T016</t>
  </si>
  <si>
    <t>作为用户，我希望到达证据刷新后仍恢复，以便不会重复完成任务。</t>
  </si>
  <si>
    <t>ArrivalEvidence 接入 ExecutionEvent，幂等保存与刷新恢复。</t>
  </si>
  <si>
    <t>S2-T005,T013,T014</t>
  </si>
  <si>
    <t>陈梓元评审</t>
  </si>
  <si>
    <t>重复提交不重复完成；刷新可恢复。</t>
  </si>
  <si>
    <t>app/api/arrival_execution_routes.py；backend/tests/test_s2_t016_arrival_execution_event.py</t>
  </si>
  <si>
    <t>S2-T017</t>
  </si>
  <si>
    <t>PBI-12-A</t>
  </si>
  <si>
    <t>AC-12-A</t>
  </si>
  <si>
    <t>作为用户，我想旅行结束后按实际顺序查看费用、关怀、变化和照片。</t>
  </si>
  <si>
    <t>MemoryTimeline 聚合接口。</t>
  </si>
  <si>
    <t>照片/事件/版本 Fixture</t>
  </si>
  <si>
    <t>乱序事件稳定排序；删除照片不返回；0 照片/无 V2 仍完整。</t>
  </si>
  <si>
    <t>app/api/memory_timeline_routes.py；backend/tests/test_s2_t017_memory_timeline.py</t>
  </si>
  <si>
    <t>S2-T018</t>
  </si>
  <si>
    <t>作为用户，我想在回忆页看到照片与路线变化，以便完整回顾旅程。</t>
  </si>
  <si>
    <t>旅行回忆前端，复用总结卡并嵌入 MemoryTimeline。</t>
  </si>
  <si>
    <t>S2-T012,T017,T022</t>
  </si>
  <si>
    <t>按实际顺序展示；移动端可读。</t>
  </si>
  <si>
    <t>frontend/src/components/MemoryPhotoStrip.tsx；WorkspacePage.tsx；待公网验收</t>
  </si>
  <si>
    <t>S2-T019</t>
  </si>
  <si>
    <t>PBI-11-B</t>
  </si>
  <si>
    <t>AC-11-B</t>
  </si>
  <si>
    <t>作为用户，我想说“迟到了/走不动了”就生成调整草稿。</t>
  </si>
  <si>
    <t>千问/规则解析 LATE/FATIGUE 事件草稿。</t>
  </si>
  <si>
    <t>千问调用基础</t>
  </si>
  <si>
    <t>只返回 eventType/taskId/lateMinutes/fatigueLevel/确认问题。</t>
  </si>
  <si>
    <t>app/api/execution_adjustment_routes.py；backend/tests/test_s2_t019_execution_event_draft.py</t>
  </si>
  <si>
    <t>S2-T020</t>
  </si>
  <si>
    <t>作为用户，我想临时事件只影响剩余行程，不改变长期关怀画像。</t>
  </si>
  <si>
    <t>LATE/FATIGUE 临时约束编译。</t>
  </si>
  <si>
    <t>只输出剩余行程 HARD 约束；不写 PlanVersion。</t>
  </si>
  <si>
    <t>app/services/execution_adjustments.py；backend/tests/test_s2_t020_event_constraint_compiler.py</t>
  </si>
  <si>
    <t>S2-T021</t>
  </si>
  <si>
    <t>作为用户，我想迟到/疲劳后先预览 V2 候选，以便接受前不覆盖原计划。</t>
  </si>
  <si>
    <t>候选 V2 后端生成：恢复 CURRENT、冻结前缀、重验预算/时间/路线/关怀。</t>
  </si>
  <si>
    <t>S2-T020,PlanVersion事实</t>
  </si>
  <si>
    <t>HARD 失败零 V2 写入；候选为 PROPOSED。</t>
  </si>
  <si>
    <t>app/application/planning_boundary_service.py；backend/tests/test_s2_t021_t022_execution_replan.py</t>
  </si>
  <si>
    <t>S2-T022</t>
  </si>
  <si>
    <t>作为组织者，我想接受或拒绝 V2，并看到结构化 Diff。</t>
  </si>
  <si>
    <t>结构化 Diff 与接受/拒绝决策。</t>
  </si>
  <si>
    <t>接受原子切换唯一 CURRENT；拒绝保留原计划。</t>
  </si>
  <si>
    <t>app/api/execution_replan_routes.py；backend/tests/test_s2_t021_t022_execution_replan.py</t>
  </si>
  <si>
    <t>S2-T023</t>
  </si>
  <si>
    <t>作为用户，我想在页面上触发迟到/疲劳并看到 V2 差异后再决策。</t>
  </si>
  <si>
    <t>执行页 LATE/FATIGUE 前端入口、确认表单、V2 Diff、接受/拒绝。</t>
  </si>
  <si>
    <t>S2-T019~T022</t>
  </si>
  <si>
    <t>林粲涵提供 Fixture</t>
  </si>
  <si>
    <t>候选接受前不覆盖 CURRENT；解释失败仍显示结构化 Diff。</t>
  </si>
  <si>
    <t>frontend/src/pages/WorkspacePage.tsx；frontend/src/services/executionReplan.ts；待公网验收</t>
  </si>
  <si>
    <t>S2-T024</t>
  </si>
  <si>
    <t>PBI-13-A</t>
  </si>
  <si>
    <t>AC-13-A</t>
  </si>
  <si>
    <t>作为老师，我想在 375/768 和公网环境验收完整旅程。</t>
  </si>
  <si>
    <t>最小黄金路径与响应式/公网验收。</t>
  </si>
  <si>
    <t>Day3</t>
  </si>
  <si>
    <t>S2-T001~T023</t>
  </si>
  <si>
    <t>全员参与</t>
  </si>
  <si>
    <t>375/768 不遮挡；公网完成六问、推荐、执行、照片、V2、回忆。</t>
  </si>
  <si>
    <t>待 UAT 录屏与公网链接</t>
  </si>
  <si>
    <t>S2-T025</t>
  </si>
  <si>
    <t>PBI-14-A</t>
  </si>
  <si>
    <t>AC-14-A</t>
  </si>
  <si>
    <t>作为组织者，我想用固定六问创建行程，而不是并排手工表单，以便按对话一步步收集完整需求。</t>
  </si>
  <si>
    <t>纯六问前端对话壳：只显示当前问题、进度、上一步/下一步、汇总确认；全部回答后才调用一次解析。</t>
  </si>
  <si>
    <t>保留现有 TripDraft 接口</t>
  </si>
  <si>
    <t>陈梓元提供契约</t>
  </si>
  <si>
    <t>6 个 questionId 顺序固定；提交前百炼/千问调用 0；更正回对应问题后重新解析。</t>
  </si>
  <si>
    <t>frontend/src/pages/ConversationPlannerPage.tsx；待调用计数录屏</t>
  </si>
  <si>
    <t>S2-T026</t>
  </si>
  <si>
    <t>AC-14-B</t>
  </si>
  <si>
    <t>作为组织者，我想创建 Trip 后分享一次性邀请链接，以便成员独立填写资料。</t>
  </si>
  <si>
    <t>组织者创建 Trip、生成邀请链接、复制分享、显示成员确认进度 UI。</t>
  </si>
  <si>
    <t>S2-T025；协作接口</t>
  </si>
  <si>
    <t>林粲涵提供安全接口</t>
  </si>
  <si>
    <t>每名成员一个链接；链接只展示对应 participantId；成员确认后组织者进度刷新。</t>
  </si>
  <si>
    <t>frontend/src/pages/ConversationPlannerPage.tsx；待两成员录屏</t>
  </si>
  <si>
    <t>S2-T027</t>
  </si>
  <si>
    <t>AC-14-C</t>
  </si>
  <si>
    <t>作为受邀成员，我想在自己的会话里填写并确认资料，以便不会改到别人信息。</t>
  </si>
  <si>
    <t>成员独立填写/确认 UI 与会话隔离提示，复用六问。</t>
  </si>
  <si>
    <t>成员只能访问自己 participantId；确认后链接失效；错误提示可见。</t>
  </si>
  <si>
    <t>frontend/src/pages/MemberConversationPage.tsx；待公网多浏览器验收</t>
  </si>
  <si>
    <t>S2-T028</t>
  </si>
  <si>
    <t>PBI-15-A</t>
  </si>
  <si>
    <t>AC-15-A</t>
  </si>
  <si>
    <t>作为系统，我必须在全员确认且硬冲突解决前阻止推荐和规划，以免浪费 Provider/模型调用。</t>
  </si>
  <si>
    <t>Provider/推荐/规划零调用门禁实现与计数验证：协作状态非 READY_TO_PLAN 一律拒绝。</t>
  </si>
  <si>
    <t>S2-T003,S2-T026</t>
  </si>
  <si>
    <t>DRAFT/INVITING/COLLECTING/CONFLICT_REVIEW 下 Provider、推荐、规划调用次数为 0。</t>
  </si>
  <si>
    <t>app/api/recommendation_routes.py；app/api/plan_routes.py；待调用计数测试</t>
  </si>
  <si>
    <t>S2-T029</t>
  </si>
  <si>
    <t>AC-15-B</t>
  </si>
  <si>
    <t>作为用户，我想硬冲突说明能点名成员和规则，以便知道该放宽什么。</t>
  </si>
  <si>
    <t>多人硬冲突输出强化：participantId、ruleId、原因、allowedRelaxations，并联动组织者处理。</t>
  </si>
  <si>
    <t>冲突未解决时 READY_TO_PLAN 不成立；放宽后状态可迁移。</t>
  </si>
  <si>
    <t>S2-T030</t>
  </si>
  <si>
    <t>PBI-16-A</t>
  </si>
  <si>
    <t>AC-16-A</t>
  </si>
  <si>
    <t>作为用户，我想推荐候选都来自高德或缓存事实，以便地点真实可信。</t>
  </si>
  <si>
    <t>服务端基于多人 Trip 与高德/缓存事实签发 6-8 个 FactRef 候选并做硬约束预过滤。</t>
  </si>
  <si>
    <t>S2-T006,S2-T028</t>
  </si>
  <si>
    <t>候选含 factSetId/digest/provenance；无效 digest 零规划写入。</t>
  </si>
  <si>
    <t>app/application/recommendation_service.py；待真实高德缓存验收</t>
  </si>
  <si>
    <t>S2-T031</t>
  </si>
  <si>
    <t>AC-16-B</t>
  </si>
  <si>
    <t>作为系统，我只允许 LLM 返回白名单地点 ID 和短理由，以便价格、路线和状态仍由后端决定。</t>
  </si>
  <si>
    <t>LLM JSON 契约更新：禁止价格、路线、满意度、PASS、计划状态、PlanVersion；失败确定性回退。</t>
  </si>
  <si>
    <t>越界/重复 ID、额外字段、非 JSON、超时或错误不修复重试。</t>
  </si>
  <si>
    <t>app/domain/recommendation.py；backend/tests/test_s2_t009_recommendation_orchestration.py</t>
  </si>
  <si>
    <t>S2-T032</t>
  </si>
  <si>
    <t>PBI-17-A</t>
  </si>
  <si>
    <t>AC-17-A</t>
  </si>
  <si>
    <t>作为老师，我想看到完整多人旅程验收任务，以便确认新增范围不是散点功能。</t>
  </si>
  <si>
    <t>命名端到端验收：E2E-S2-新增需求-多人六问到回忆闭环。</t>
  </si>
  <si>
    <t>S2-T025~T031,T012,T023</t>
  </si>
  <si>
    <t>全员配合</t>
  </si>
  <si>
    <t>公网环境：组织者+两成员、冲突处理、唯一推荐、执行、照片、V2、回忆、375/768。</t>
  </si>
  <si>
    <t>待 UAT 编号 UAT-S2-E2E-001</t>
  </si>
  <si>
    <t>Sprint 2 新增需求修订版 · 燃尽与容量</t>
  </si>
  <si>
    <t>Sprint 1 · 容量、燃尽与 Review 门禁</t>
  </si>
  <si>
    <t>Sprint Goal：第一次 Review 就能展示关怀单人完整 Agent</t>
  </si>
  <si>
    <t>指标</t>
  </si>
  <si>
    <t>值</t>
  </si>
  <si>
    <t>实际剩余工时列初始化为计划基线，Sprint 执行后由每日站会更新黄色输入格；所有汇总、偏差、完成率与图表均由公式回算。</t>
  </si>
  <si>
    <t>修订总任务数</t>
  </si>
  <si>
    <t>切换为“执行中”后，每日更新 SprintBacklog模板 的 Day1/Day2/Day3 实际剩余工时；Day3 仅关键缺陷修复可占用临时缓冲，不新增常规开发承诺。</t>
  </si>
  <si>
    <t>原计划工时</t>
  </si>
  <si>
    <t>新增工时</t>
  </si>
  <si>
    <t>修订总工时</t>
  </si>
  <si>
    <t>已完成/基本完成估算</t>
  </si>
  <si>
    <t>当前剩余工时</t>
  </si>
  <si>
    <t>PBI 数</t>
  </si>
  <si>
    <t>任务数</t>
  </si>
  <si>
    <t>剩余工时</t>
  </si>
  <si>
    <t>旧剩余</t>
  </si>
  <si>
    <t>新增剩余</t>
  </si>
  <si>
    <t>Day1容量</t>
  </si>
  <si>
    <t>Day2容量</t>
  </si>
  <si>
    <t>兼任职责</t>
  </si>
  <si>
    <t>主责方向（非技术壁垒）</t>
  </si>
  <si>
    <t>PO（兼任）</t>
  </si>
  <si>
    <t>多人模型、硬冲突、统一执行版本；同样承担联调与自测</t>
  </si>
  <si>
    <t>SM（兼任）</t>
  </si>
  <si>
    <t>公平推荐与任务照片；同样承担接口联调与自测</t>
  </si>
  <si>
    <t>QA（兼任）</t>
  </si>
  <si>
    <t>一次性 GPS 与旅行回忆；同样承担接口联调与自测</t>
  </si>
  <si>
    <t>迟到/疲劳重规划与移动端适配；同样承担全链验收</t>
  </si>
  <si>
    <t>四人均为开发者</t>
  </si>
  <si>
    <t>主责表示首要推进责任，不限制协作</t>
  </si>
  <si>
    <t>日期</t>
  </si>
  <si>
    <t>计划剩余</t>
  </si>
  <si>
    <t>实际剩余</t>
  </si>
  <si>
    <t>Sprint开始</t>
  </si>
  <si>
    <t>Day1结束</t>
  </si>
  <si>
    <t>Day2结束</t>
  </si>
  <si>
    <t>Day3验收</t>
  </si>
  <si>
    <t>协作与评审规则：四人均承担开发任务；主责字段只表示首要推进责任。可协作人按当前任务列示但不构成固定搭档。每个 PR 在实际提交时从非作者成员中，依据 Schema/金额/状态机/关怀安全/交互/部署等风险和当次可用性临时指定评审人。</t>
  </si>
  <si>
    <t>Sprint 2 PBI 追溯（新增需求修订）</t>
  </si>
  <si>
    <t>主题</t>
  </si>
  <si>
    <t>覆盖 Task</t>
  </si>
  <si>
    <t>用户故事</t>
  </si>
  <si>
    <t>SP</t>
  </si>
  <si>
    <t>完成/基本完成数</t>
  </si>
  <si>
    <t>覆盖判断</t>
  </si>
  <si>
    <t>证据</t>
  </si>
  <si>
    <t>多人需求理解与确认</t>
  </si>
  <si>
    <t>S2-T001~T005</t>
  </si>
  <si>
    <t>作为组织者/成员，我想确认多人需求与冲突。</t>
  </si>
  <si>
    <t>唯一公平推荐</t>
  </si>
  <si>
    <t>S2-T006~T010</t>
  </si>
  <si>
    <t>作为用户，我想得到真实事实支撑的一条公平方案。</t>
  </si>
  <si>
    <t>GPS 到达确认</t>
  </si>
  <si>
    <t>S2-T013~T016</t>
  </si>
  <si>
    <t>作为用户，我想主动定位一次并可手动确认。</t>
  </si>
  <si>
    <t>照片记录</t>
  </si>
  <si>
    <t>S2-T011~T012</t>
  </si>
  <si>
    <t>作为用户，我想每站保存照片且不影响继续旅行。</t>
  </si>
  <si>
    <t>统一执行状态</t>
  </si>
  <si>
    <t>作为用户，我想 1/2/3 人执行流程一致。</t>
  </si>
  <si>
    <t>迟到/疲劳 V2</t>
  </si>
  <si>
    <t>S2-T019~T023</t>
  </si>
  <si>
    <t>作为用户，我想临时调整先预览再接受。</t>
  </si>
  <si>
    <t>回忆页</t>
  </si>
  <si>
    <t>S2-T017~T018</t>
  </si>
  <si>
    <t>作为用户，我想旅行结束后看完整回忆。</t>
  </si>
  <si>
    <t>响应式与公网验收</t>
  </si>
  <si>
    <t>作为老师，我想在真实环境验收。</t>
  </si>
  <si>
    <t>固定六问与独立邀请</t>
  </si>
  <si>
    <t>S2-T025~T027</t>
  </si>
  <si>
    <t>作为组织者/成员，我想用六问和链接协作填写。</t>
  </si>
  <si>
    <t>全员确认与硬冲突门禁</t>
  </si>
  <si>
    <t>S2-T028~T029</t>
  </si>
  <si>
    <t>作为系统，我必须在 READY_TO_PLAN 前零推荐/规划调用。</t>
  </si>
  <si>
    <t>FactRef 白名单候选</t>
  </si>
  <si>
    <t>S2-T030~T031</t>
  </si>
  <si>
    <t>作为用户，我想候选来自高德/缓存可信事实。</t>
  </si>
  <si>
    <t>新增范围端到端验收</t>
  </si>
  <si>
    <t>作为老师，我想看到新增需求完整闭环。</t>
  </si>
  <si>
    <t>LLM 接入设计：新增需求边界</t>
  </si>
  <si>
    <t>场景</t>
  </si>
  <si>
    <t>入口</t>
  </si>
  <si>
    <t>调用时机</t>
  </si>
  <si>
    <t>允许输入</t>
  </si>
  <si>
    <t>允许输出</t>
  </si>
  <si>
    <t>禁止输出/行为</t>
  </si>
  <si>
    <t>超时/失败</t>
  </si>
  <si>
    <t>确定性后端责任</t>
  </si>
  <si>
    <t>Provider 责任</t>
  </si>
  <si>
    <t>前端责任</t>
  </si>
  <si>
    <t>固定六问解析</t>
  </si>
  <si>
    <t>/api/v2/trips/conversations；/participant-invitations/{token}/conversation</t>
  </si>
  <si>
    <t>六问全部回答后一次调用；更正后按对应问题重新解析</t>
  </si>
  <si>
    <t>六问 transcript、原始描述、已有共享信息</t>
  </si>
  <si>
    <t>字段草稿、缺项、歧义、确认项</t>
  </si>
  <si>
    <t>participantId 生成、确认状态、PASS、PlanVersion、价格/路线</t>
  </si>
  <si>
    <t>超时/非 JSON/Schema 错误：规则/表单降级</t>
  </si>
  <si>
    <t>Trip/Constraint/冲突/状态迁移</t>
  </si>
  <si>
    <t>无</t>
  </si>
  <si>
    <t>收集、展示、确认</t>
  </si>
  <si>
    <t>ConversationPlannerPage；MemberConversationPage</t>
  </si>
  <si>
    <t>LATE/FATIGUE 解释</t>
  </si>
  <si>
    <t>/api/v1/execution-adjustments/parse</t>
  </si>
  <si>
    <t>用户输入临时事件文本后</t>
  </si>
  <si>
    <t>rawText/taskId/currentTask</t>
  </si>
  <si>
    <t>eventType/taskId/lateMinutes/fatigueLevel/确认问题</t>
  </si>
  <si>
    <t>长期关怀、Constraint、PlanVersion、状态</t>
  </si>
  <si>
    <t>10 秒硬上限；失败固定表单</t>
  </si>
  <si>
    <t>临时约束编译与 V2 生成</t>
  </si>
  <si>
    <t>展示草稿与确认</t>
  </si>
  <si>
    <t>backend/tests/test_s2_t019_execution_event_draft.py</t>
  </si>
  <si>
    <t>FactRef 候选排序</t>
  </si>
  <si>
    <t>/api/v1/trips/{tripId}/recommendations</t>
  </si>
  <si>
    <t>READY_TO_PLAN 后，服务端已签发 6-8 个 FactRef 后</t>
  </si>
  <si>
    <t>白名单地点 ID、服务端摘要、确认后的多人摘要</t>
  </si>
  <si>
    <t>白名单地点 ID、顺序、短理由、风险提示</t>
  </si>
  <si>
    <t>价格、路线、满意度、PASS、计划状态、PlanVersion、额外字段</t>
  </si>
  <si>
    <t>非 JSON/越界/重复/超时/错误：不修复重试，确定性回退</t>
  </si>
  <si>
    <t>硬约束、评分、排序、唯一方案</t>
  </si>
  <si>
    <t>地点/路线/价格/设施事实</t>
  </si>
  <si>
    <t>展示唯一方案</t>
  </si>
  <si>
    <t>backend/tests/test_s2_t009_recommendation_orchestration.py</t>
  </si>
  <si>
    <t>V2 Diff 文案</t>
  </si>
  <si>
    <t>replan explanation gateway</t>
  </si>
  <si>
    <t>服务端已生成结构化 Diff 后可选调用</t>
  </si>
  <si>
    <t>不可变 Diff 投影</t>
  </si>
  <si>
    <t>短解释摘要</t>
  </si>
  <si>
    <t>修改任务、价格、状态、PASS</t>
  </si>
  <si>
    <t>失败仅 explanation=UNAVAILABLE</t>
  </si>
  <si>
    <t>Diff/接受/拒绝原子状态机</t>
  </si>
  <si>
    <t>展示结构化 Diff</t>
  </si>
  <si>
    <t>backend/tests/test_bailian_replan_explanation.py</t>
  </si>
  <si>
    <t>门禁</t>
  </si>
  <si>
    <t>协作状态机</t>
  </si>
  <si>
    <t>DRAFT/INVITING/COLLECTING/CONFLICT_REVIEW</t>
  </si>
  <si>
    <t>无模型调用</t>
  </si>
  <si>
    <t>任何 Provider/推荐/规划调用</t>
  </si>
  <si>
    <t>直接 409，计数 0</t>
  </si>
  <si>
    <t>READY_TO_PLAN 判定</t>
  </si>
  <si>
    <t>READY 后才查询高德</t>
  </si>
  <si>
    <t>显示等待/冲突</t>
  </si>
  <si>
    <t>app/infrastructure/collaboration_store.py</t>
  </si>
  <si>
    <t>安全总结</t>
  </si>
  <si>
    <t>全链路</t>
  </si>
  <si>
    <t>所有阶段</t>
  </si>
  <si>
    <t>最小必要事实</t>
  </si>
  <si>
    <t>可解释但不裁决</t>
  </si>
  <si>
    <t>AI 不写事实、不写状态</t>
  </si>
  <si>
    <t>失败可见且可继续</t>
  </si>
  <si>
    <t>后端确定性裁决</t>
  </si>
  <si>
    <t>高德只供事实</t>
  </si>
  <si>
    <t>前端只收集/展示/确认</t>
  </si>
  <si>
    <t>UAT-S2-E2E-001</t>
  </si>
  <si>
    <t>人工确认项</t>
  </si>
  <si>
    <t>公网验收</t>
  </si>
  <si>
    <t>老师验收时</t>
  </si>
  <si>
    <t>真实 Key 与真实浏览器</t>
  </si>
  <si>
    <t>录屏/截图编号</t>
  </si>
  <si>
    <t>伪造已完成</t>
  </si>
  <si>
    <t>未通过则保持进行中</t>
  </si>
  <si>
    <t>验收签字</t>
  </si>
  <si>
    <t>真实调用日志</t>
  </si>
  <si>
    <t>375/768 页面</t>
  </si>
  <si>
    <t>验收清单</t>
  </si>
  <si>
    <t>LLM JSON 契约：白名单候选与六问解析</t>
  </si>
  <si>
    <t>契约</t>
  </si>
  <si>
    <t>schemaVersion</t>
  </si>
  <si>
    <t>字段</t>
  </si>
  <si>
    <t>类型/范围</t>
  </si>
  <si>
    <t>示例</t>
  </si>
  <si>
    <t>额外字段</t>
  </si>
  <si>
    <t>失败处理</t>
  </si>
  <si>
    <t>不得包含</t>
  </si>
  <si>
    <t>状态写入</t>
  </si>
  <si>
    <t>责任归属</t>
  </si>
  <si>
    <t>测试证据</t>
  </si>
  <si>
    <t>六问解析</t>
  </si>
  <si>
    <t>1.0</t>
  </si>
  <si>
    <t>parsed/confirmationItems/canPlan</t>
  </si>
  <si>
    <t>固定字段；extra=forbid</t>
  </si>
  <si>
    <t>cityName/travelDate/startTime/endTime/budgetCents</t>
  </si>
  <si>
    <t>拒绝</t>
  </si>
  <si>
    <t>规则降级并显示确认项</t>
  </si>
  <si>
    <t>participantId、状态、PlanVersion</t>
  </si>
  <si>
    <t>千问只提取</t>
  </si>
  <si>
    <t>test_trip_draft_llm_integration.py</t>
  </si>
  <si>
    <t>候选排序</t>
  </si>
  <si>
    <t>selectedPlaceFactIds/selectionRationale/riskNotes</t>
  </si>
  <si>
    <t>ID 必须来自候选 FactRef；理由短文本</t>
  </si>
  <si>
    <t>["fact-1","fact-2","fact-3"]</t>
  </si>
  <si>
    <t>确定性枚举回退</t>
  </si>
  <si>
    <t>price、route、score、PASS、planVersion</t>
  </si>
  <si>
    <t>千问只排序解释</t>
  </si>
  <si>
    <t>test_s2_t009_recommendation_orchestration.py</t>
  </si>
  <si>
    <t>LATE/FATIGUE</t>
  </si>
  <si>
    <t>eventType/taskId/lateMinutes/fatigueLevel</t>
  </si>
  <si>
    <t>eventType 仅 LATE/FATIGUE/null</t>
  </si>
  <si>
    <t>LATE + 20 分钟</t>
  </si>
  <si>
    <t>固定表单</t>
  </si>
  <si>
    <t>Constraint、Profile、PlanVersion</t>
  </si>
  <si>
    <t>test_s2_t019_execution_event_draft.py</t>
  </si>
  <si>
    <t>Diff 解释</t>
  </si>
  <si>
    <t>summary/status/model/degradedReason</t>
  </si>
  <si>
    <t>可选展示字段</t>
  </si>
  <si>
    <t>UNAVAILABLE 时 summary=null</t>
  </si>
  <si>
    <t>保留结构化 Diff</t>
  </si>
  <si>
    <t>价格/路线/状态变更</t>
  </si>
  <si>
    <t>千问只解释</t>
  </si>
  <si>
    <t>test_bailian_replan_explanation.py</t>
  </si>
  <si>
    <t>Provider 事实</t>
  </si>
  <si>
    <t>不适用</t>
  </si>
  <si>
    <t>FactRef/place/route/price/provenance</t>
  </si>
  <si>
    <t>服务端签发</t>
  </si>
  <si>
    <t>AMAP:placeId + digest</t>
  </si>
  <si>
    <t>客户端不得提交</t>
  </si>
  <si>
    <t>无效 digest 零写入</t>
  </si>
  <si>
    <t>模型生成事实</t>
  </si>
  <si>
    <t>后端签发</t>
  </si>
  <si>
    <t>高德/缓存供事实</t>
  </si>
  <si>
    <t>test_s2_recommendation_boundary.py</t>
  </si>
  <si>
    <t>状态机</t>
  </si>
  <si>
    <t>DRAFT_CONVERSATION→INVITING→COLLECTING_MEMBERS→CONFLICT_REVIEW→READY_TO_PLAN</t>
  </si>
  <si>
    <t>后端枚举</t>
  </si>
  <si>
    <t>READY_TO_PLAN</t>
  </si>
  <si>
    <t>前端不得改</t>
  </si>
  <si>
    <t>409/可见提示</t>
  </si>
  <si>
    <t>LLM/PASS</t>
  </si>
  <si>
    <t>后端迁移</t>
  </si>
  <si>
    <t>确定性模块</t>
  </si>
  <si>
    <t>test_collaboration_store.py</t>
  </si>
  <si>
    <t>全局禁令</t>
  </si>
  <si>
    <t>所有 LLM 响应</t>
  </si>
  <si>
    <t>strict JSON</t>
  </si>
  <si>
    <t>无 markdown 包裹</t>
  </si>
  <si>
    <t>不修复重试</t>
  </si>
  <si>
    <t>价格、路线、满意度、PASS、计划状态、PlanVersion</t>
  </si>
  <si>
    <t>后端校验</t>
  </si>
  <si>
    <t>错误扫描 + UAT</t>
  </si>
  <si>
    <t>行知旅伴 Sprint 2 · 用户功能验收清单（面向老师）</t>
  </si>
  <si>
    <t>编号</t>
  </si>
  <si>
    <t>用户旅程项</t>
  </si>
  <si>
    <t>前置条件</t>
  </si>
  <si>
    <t>操作</t>
  </si>
  <si>
    <t>预期结果</t>
  </si>
  <si>
    <t>证据链接/编号</t>
  </si>
  <si>
    <t>关联 Task</t>
  </si>
  <si>
    <t>备注</t>
  </si>
  <si>
    <t>UAT-S2-001</t>
  </si>
  <si>
    <t>组织者固定六问</t>
  </si>
  <si>
    <t>打开公网 /plan，选择多人创建</t>
  </si>
  <si>
    <t>依次回答目标/人数/起终点预算/兴趣/关怀/确认</t>
  </si>
  <si>
    <t>提交前模型调用 0；提交后一次解析并显示确认卡</t>
  </si>
  <si>
    <t>待验收</t>
  </si>
  <si>
    <t>待录屏</t>
  </si>
  <si>
    <t>UAT-S2-002</t>
  </si>
  <si>
    <t>邀请链接</t>
  </si>
  <si>
    <t>组织者确认卡已生成，人数为 3</t>
  </si>
  <si>
    <t>复制两个邀请链接分别在两个浏览器打开</t>
  </si>
  <si>
    <t>每个链接只对应一个 participantId，显示共享 Trip 信息</t>
  </si>
  <si>
    <t>待截图</t>
  </si>
  <si>
    <t>UAT-S2-003</t>
  </si>
  <si>
    <t>两名成员会话隔离</t>
  </si>
  <si>
    <t>两个成员链接有效</t>
  </si>
  <si>
    <t>成员 A/B 分别填写不同兴趣/避开项并确认</t>
  </si>
  <si>
    <t>A/B 资料互不覆盖；确认后原链接失效</t>
  </si>
  <si>
    <t>S2-T027,T029</t>
  </si>
  <si>
    <t>UAT-S2-004</t>
  </si>
  <si>
    <t>全员确认门禁</t>
  </si>
  <si>
    <t>组织者确认，至少一名成员未确认</t>
  </si>
  <si>
    <t>尝试进入推荐/规划接口</t>
  </si>
  <si>
    <t>返回等待或 409；Provider、推荐、规划调用次数为 0</t>
  </si>
  <si>
    <t>待补测试</t>
  </si>
  <si>
    <t>CALLCOUNT-S2-001</t>
  </si>
  <si>
    <t>UAT-S2-005</t>
  </si>
  <si>
    <t>硬冲突处理</t>
  </si>
  <si>
    <t>一人必去 A，另一人避开 A</t>
  </si>
  <si>
    <t>全员确认后查看组织者冲突页并选择放宽项</t>
  </si>
  <si>
    <t>显示 participantId/ruleId/原因/可放宽项；放宽后可 READY_TO_PLAN</t>
  </si>
  <si>
    <t>UAT-S2-CONFLICT</t>
  </si>
  <si>
    <t>UAT-S2-006</t>
  </si>
  <si>
    <t>READY_TO_PLAN，真实/缓存高德可用</t>
  </si>
  <si>
    <t>进入推荐页</t>
  </si>
  <si>
    <t>签发 6-8 个 FactRef；只显示唯一方案、成员得分与妥协说明</t>
  </si>
  <si>
    <t>REC-S2-001</t>
  </si>
  <si>
    <t>S2-T030,T031</t>
  </si>
  <si>
    <t>UAT-S2-007</t>
  </si>
  <si>
    <t>GPS 四类/五类结果</t>
  </si>
  <si>
    <t>已有 CURRENT 计划任务</t>
  </si>
  <si>
    <t>分别模拟成功、过远、拒绝、超时、低精度</t>
  </si>
  <si>
    <t>成功自动到达；其他可人工确认且原因可见</t>
  </si>
  <si>
    <t>后端完成/前端待验</t>
  </si>
  <si>
    <t>GPS-S2-001</t>
  </si>
  <si>
    <t>UAT-S2-008</t>
  </si>
  <si>
    <t>照片限制</t>
  </si>
  <si>
    <t>执行页已开始</t>
  </si>
  <si>
    <t>每站上传/替换/删除；尝试第 9 张</t>
  </si>
  <si>
    <t>每站 1 张、全程 8 张；失败不阻断；删除后回忆页消失</t>
  </si>
  <si>
    <t>PHOTO-S2-001</t>
  </si>
  <si>
    <t>S2-T011,T012</t>
  </si>
  <si>
    <t>UAT-S2-009</t>
  </si>
  <si>
    <t>迟到/疲劳触发 V2</t>
  </si>
  <si>
    <t>执行中已有 CURRENT V1</t>
  </si>
  <si>
    <t>输入迟到/疲劳，确认事件，预览 V2</t>
  </si>
  <si>
    <t>候选为 PROPOSED；HARD 失败零写入；解释失败仍有结构化 Diff</t>
  </si>
  <si>
    <t>REPLAN-S2-001</t>
  </si>
  <si>
    <t>UAT-S2-010</t>
  </si>
  <si>
    <t>组织者接受/拒绝</t>
  </si>
  <si>
    <t>V2 候选已生成</t>
  </si>
  <si>
    <t>分别执行 ACCEPT 和 REJECT</t>
  </si>
  <si>
    <t>接受唯一 CURRENT 切换；拒绝保留原计划</t>
  </si>
  <si>
    <t>DECISION-S2-001</t>
  </si>
  <si>
    <t>S2-T022,T023</t>
  </si>
  <si>
    <t>UAT-S2-011</t>
  </si>
  <si>
    <t>完成/费用/照片/V2 已产生</t>
  </si>
  <si>
    <t>进入总结/回忆区域</t>
  </si>
  <si>
    <t>按实际顺序显示完成率、费用、关怀、Diff 与未删除照片</t>
  </si>
  <si>
    <t>MEMORY-S2-001</t>
  </si>
  <si>
    <t>S2-T017,T018</t>
  </si>
  <si>
    <t>UAT-S2-012</t>
  </si>
  <si>
    <t>375/768 响应式</t>
  </si>
  <si>
    <t>公网环境</t>
  </si>
  <si>
    <t>在 375px 和 768px 视口跑六问、推荐、执行、回忆</t>
  </si>
  <si>
    <t>文本不遮挡，按钮可点击，关键数字可读</t>
  </si>
  <si>
    <t>RESP-S2-001</t>
  </si>
  <si>
    <t>S2-T024,T032</t>
  </si>
  <si>
    <t>UAT-S2-013</t>
  </si>
  <si>
    <t>降级与失败提示</t>
  </si>
  <si>
    <t>关闭百炼或模拟非 JSON/超时</t>
  </si>
  <si>
    <t>提交六问/事件/候选排序</t>
  </si>
  <si>
    <t>提示降级；不丢原始输入；确定性回退继续可用</t>
  </si>
  <si>
    <t>DEGRADE-S2-001</t>
  </si>
  <si>
    <t>S2-T004,T031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</si>
</sst>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9">
    <font>
      <sz val="12"/>
      <name val="宋体"/>
      <charset val="134"/>
    </font>
    <font>
      <b/>
      <sz val="12"/>
      <color rgb="FFFFFFFF"/>
      <name val="宋体"/>
      <charset val="134"/>
    </font>
    <font>
      <sz val="12"/>
      <color rgb="FF1D1D1F"/>
      <name val="宋体"/>
      <charset val="134"/>
    </font>
    <font>
      <sz val="9"/>
      <color rgb="FF1F2937"/>
      <name val="Microsoft YaHei"/>
      <charset val="134"/>
    </font>
    <font>
      <b/>
      <sz val="17"/>
      <color rgb="FFFFFFFF"/>
      <name val="Microsoft YaHei"/>
      <charset val="134"/>
    </font>
    <font>
      <b/>
      <sz val="11"/>
      <color rgb="FF111827"/>
      <name val="Microsoft YaHei"/>
      <charset val="134"/>
    </font>
    <font>
      <b/>
      <sz val="12"/>
      <color rgb="FF1F4E78"/>
      <name val="宋体"/>
      <charset val="134"/>
    </font>
    <font>
      <b/>
      <sz val="10"/>
      <color rgb="FF111827"/>
      <name val="Microsoft YaHei"/>
      <charset val="134"/>
    </font>
    <font>
      <b/>
      <sz val="9"/>
      <color rgb="FF1F4E78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EF4FA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"/>
        <bgColor indexed="64"/>
      </patternFill>
    </fill>
    <fill>
      <patternFill patternType="solid">
        <fgColor theme="4" tint="0.59996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"/>
        <bgColor indexed="64"/>
      </patternFill>
    </fill>
    <fill>
      <patternFill patternType="solid">
        <fgColor theme="5" tint="0.59996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"/>
        <bgColor indexed="64"/>
      </patternFill>
    </fill>
    <fill>
      <patternFill patternType="solid">
        <fgColor theme="6" tint="0.59996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"/>
        <bgColor indexed="64"/>
      </patternFill>
    </fill>
    <fill>
      <patternFill patternType="solid">
        <fgColor theme="7" tint="0.59996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"/>
        <bgColor indexed="64"/>
      </patternFill>
    </fill>
    <fill>
      <patternFill patternType="solid">
        <fgColor theme="8" tint="0.59996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"/>
        <bgColor indexed="64"/>
      </patternFill>
    </fill>
    <fill>
      <patternFill patternType="solid">
        <fgColor theme="9" tint="0.59996"/>
        <bgColor indexed="64"/>
      </patternFill>
    </fill>
    <fill>
      <patternFill patternType="solid">
        <fgColor theme="9" tint="0.39998"/>
        <bgColor indexed="64"/>
      </patternFill>
    </fill>
  </fills>
  <borders count="17">
    <border>
      <left/>
      <right/>
      <top/>
      <bottom/>
      <diagonal/>
    </border>
    <border>
      <left style="thin">
        <color rgb="FFAAB4C0"/>
      </left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AAB4C0"/>
      </top>
      <bottom/>
      <diagonal/>
    </border>
    <border>
      <left/>
      <right style="thin">
        <color rgb="FFAAB4C0"/>
      </right>
      <top style="thin">
        <color rgb="FFAAB4C0"/>
      </top>
      <bottom/>
      <diagonal/>
    </border>
    <border>
      <left/>
      <right/>
      <top/>
      <bottom style="thin">
        <color rgb="FFAAB4C0"/>
      </bottom>
      <diagonal/>
    </border>
    <border>
      <left/>
      <right style="thin">
        <color rgb="FFAAB4C0"/>
      </right>
      <top/>
      <bottom style="thin">
        <color rgb="FFAAB4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0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12" applyNumberFormat="0" applyAlignment="0" applyProtection="0">
      <alignment vertical="center"/>
    </xf>
    <xf numFmtId="0" fontId="19" fillId="12" borderId="13" applyNumberFormat="0" applyAlignment="0" applyProtection="0">
      <alignment vertical="center"/>
    </xf>
    <xf numFmtId="0" fontId="20" fillId="12" borderId="12" applyNumberFormat="0" applyAlignment="0" applyProtection="0">
      <alignment vertical="center"/>
    </xf>
    <xf numFmtId="0" fontId="21" fillId="13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2" fillId="0" borderId="0" xfId="0" applyNumberFormat="1" applyFont="1" applyFill="1" applyBorder="1" applyAlignment="1">
      <alignment vertical="top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6" fillId="4" borderId="1" xfId="0" applyNumberFormat="1" applyFont="1" applyFill="1" applyBorder="1" applyAlignment="1">
      <alignment vertical="top" wrapText="1"/>
    </xf>
    <xf numFmtId="0" fontId="3" fillId="5" borderId="0" xfId="0" applyFont="1" applyFill="1"/>
    <xf numFmtId="0" fontId="3" fillId="6" borderId="0" xfId="0" applyFont="1" applyFill="1" applyAlignment="1">
      <alignment wrapText="1"/>
    </xf>
    <xf numFmtId="0" fontId="7" fillId="7" borderId="1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vertical="center" wrapText="1"/>
    </xf>
    <xf numFmtId="0" fontId="3" fillId="8" borderId="3" xfId="0" applyFont="1" applyFill="1" applyBorder="1" applyAlignment="1">
      <alignment vertical="center" wrapText="1"/>
    </xf>
    <xf numFmtId="0" fontId="3" fillId="8" borderId="4" xfId="0" applyFont="1" applyFill="1" applyBorder="1" applyAlignment="1">
      <alignment vertical="center" wrapText="1"/>
    </xf>
    <xf numFmtId="0" fontId="3" fillId="8" borderId="5" xfId="0" applyFont="1" applyFill="1" applyBorder="1" applyAlignment="1">
      <alignment vertical="center" wrapText="1"/>
    </xf>
    <xf numFmtId="0" fontId="3" fillId="8" borderId="6" xfId="0" applyFont="1" applyFill="1" applyBorder="1" applyAlignment="1">
      <alignment vertical="center" wrapText="1"/>
    </xf>
    <xf numFmtId="0" fontId="0" fillId="0" borderId="7" xfId="0" applyBorder="1"/>
    <xf numFmtId="0" fontId="0" fillId="0" borderId="8" xfId="0" applyBorder="1"/>
    <xf numFmtId="0" fontId="6" fillId="0" borderId="1" xfId="0" applyNumberFormat="1" applyFont="1" applyFill="1" applyBorder="1" applyAlignment="1">
      <alignment vertical="top" wrapText="1"/>
    </xf>
    <xf numFmtId="176" fontId="2" fillId="0" borderId="1" xfId="0" applyNumberFormat="1" applyFont="1" applyFill="1" applyBorder="1" applyAlignment="1">
      <alignment vertical="top" wrapText="1"/>
    </xf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4CC"/>
        </patternFill>
      </fill>
    </dxf>
    <dxf>
      <font>
        <b val="1"/>
        <color rgb="FF1F4E78"/>
      </font>
      <fill>
        <patternFill patternType="solid">
          <bgColor rgb="FFEEF4FA"/>
        </patternFill>
      </fill>
    </dxf>
    <dxf>
      <font>
        <b val="1"/>
        <color rgb="FF8A5A00"/>
      </font>
      <fill>
        <patternFill patternType="solid">
          <bgColor rgb="FFFFF4CC"/>
        </patternFill>
      </fill>
    </dxf>
    <dxf>
      <font>
        <b val="1"/>
        <color rgb="FF1B5E20"/>
      </font>
      <fill>
        <patternFill patternType="solid">
          <bgColor rgb="FFE2F0D9"/>
        </patternFill>
      </fill>
    </dxf>
    <dxf>
      <font>
        <b val="1"/>
        <color rgb="FFB42318"/>
      </font>
      <fill>
        <patternFill patternType="solid">
          <bgColor rgb="FFFCE8E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Sprint 2 剩余工时燃尽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"计划剩余"</c:f>
              <c:strCache>
                <c:ptCount val="1"/>
                <c:pt idx="0">
                  <c:v>计划剩余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strRef>
              <c:f>燃尽图!$A$22:$A$25</c:f>
              <c:strCache>
                <c:ptCount val="4"/>
                <c:pt idx="0">
                  <c:v>Sprint开始</c:v>
                </c:pt>
                <c:pt idx="1">
                  <c:v>Day1结束</c:v>
                </c:pt>
                <c:pt idx="2">
                  <c:v>Day2结束</c:v>
                </c:pt>
                <c:pt idx="3">
                  <c:v>Day3验收</c:v>
                </c:pt>
              </c:strCache>
            </c:strRef>
          </c:cat>
          <c:val>
            <c:numRef>
              <c:f>燃尽图!$B$22:$B$25</c:f>
              <c:numCache>
                <c:formatCode>General</c:formatCode>
                <c:ptCount val="4"/>
                <c:pt idx="0">
                  <c:v>60</c:v>
                </c:pt>
                <c:pt idx="1">
                  <c:v>45</c:v>
                </c:pt>
                <c:pt idx="2">
                  <c:v>30</c:v>
                </c:pt>
                <c:pt idx="3">
                  <c:v>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"实际剩余"</c:f>
              <c:strCache>
                <c:ptCount val="1"/>
                <c:pt idx="0">
                  <c:v>实际剩余</c:v>
                </c:pt>
              </c:strCache>
            </c:strRef>
          </c:tx>
          <c:marker>
            <c:symbol val="none"/>
          </c:marker>
          <c:dLbls>
            <c:delete val="1"/>
          </c:dLbls>
          <c:cat>
            <c:strRef>
              <c:f>燃尽图!$A$22:$A$25</c:f>
              <c:strCache>
                <c:ptCount val="4"/>
                <c:pt idx="0">
                  <c:v>Sprint开始</c:v>
                </c:pt>
                <c:pt idx="1">
                  <c:v>Day1结束</c:v>
                </c:pt>
                <c:pt idx="2">
                  <c:v>Day2结束</c:v>
                </c:pt>
                <c:pt idx="3">
                  <c:v>Day3验收</c:v>
                </c:pt>
              </c:strCache>
            </c:strRef>
          </c:cat>
          <c:val>
            <c:numRef>
              <c:f>燃尽图!$C$22:$C$25</c:f>
              <c:numCache>
                <c:formatCode>General</c:formatCode>
                <c:ptCount val="4"/>
                <c:pt idx="0">
                  <c:v>60</c:v>
                </c:pt>
                <c:pt idx="1">
                  <c:v>56</c:v>
                </c:pt>
                <c:pt idx="2">
                  <c:v>55</c:v>
                </c:pt>
                <c:pt idx="3">
                  <c:v>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58d3788-5f69-4901-a041-c6119333a553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>
      <xdr:nvGraphicFramePr>
        <xdr:cNvPr id="2" name="Chart"/>
        <xdr:cNvGraphicFramePr/>
      </xdr:nvGraphicFramePr>
      <xdr:xfrm>
        <a:off x="4114800" y="6096000"/>
        <a:ext cx="3048000" cy="4876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LLMArchitectureMapping" displayName="LLMArchitectureMapping" ref="A5:D14" totalsRowShown="0">
  <autoFilter xmlns:etc="http://www.wps.cn/officeDocument/2017/etCustomData" ref="A5:D14" etc:filterBottomFollowUsedRange="0"/>
  <tableColumns count="4">
    <tableColumn id="1" name="契约/边界"/>
    <tableColumn id="2" name="现有复用位置"/>
    <tableColumn id="3" name="当前状态/缺口"/>
    <tableColumn id="4" name="推荐职责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LMModuleChanges" displayName="LLMModuleChanges" ref="A27:C39" totalsRowShown="0">
  <autoFilter xmlns:etc="http://www.wps.cn/officeDocument/2017/etCustomData" ref="A27:C39" etc:filterBottomFollowUsedRange="0"/>
  <tableColumns count="3">
    <tableColumn id="1" name="类型"/>
    <tableColumn id="2" name="模块/接口"/>
    <tableColumn id="3" name="改动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LMDegradationMatrix" displayName="LLMDegradationMatrix" ref="A42:B50" totalsRowShown="0">
  <autoFilter xmlns:etc="http://www.wps.cn/officeDocument/2017/etCustomData" ref="A42:B50" etc:filterBottomFollowUsedRange="0"/>
  <tableColumns count="2">
    <tableColumn id="1" name="故障"/>
    <tableColumn id="2" name="用户与系统行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LMImplementationOrder" displayName="LLMImplementationOrder" ref="A61:C69" totalsRowShown="0">
  <autoFilter xmlns:etc="http://www.wps.cn/officeDocument/2017/etCustomData" ref="A61:C69" etc:filterBottomFollowUsedRange="0"/>
  <tableColumns count="3">
    <tableColumn id="1" name="顺序"/>
    <tableColumn id="2" name="实施项"/>
    <tableColumn id="3" name="关联 Task/门禁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6" name="ReviewFeedbackActions" displayName="ReviewFeedbackActions" ref="A76:D82" totalsRowShown="0">
  <autoFilter xmlns:etc="http://www.wps.cn/officeDocument/2017/etCustomData" ref="A76:D82" etc:filterBottomFollowUsedRange="0"/>
  <tableColumns count="4">
    <tableColumn id="1" name="评审问题"/>
    <tableColumn id="2" name="本版处理"/>
    <tableColumn id="3" name="影响 Task"/>
    <tableColumn id="4" name="可验收证据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LLMJsonContract" displayName="LLMJsonContract" ref="A4:H33" totalsRowShown="0">
  <autoFilter xmlns:etc="http://www.wps.cn/officeDocument/2017/etCustomData" ref="A4:H33" etc:filterBottomFollowUsedRange="0"/>
  <tableColumns count="8">
    <tableColumn id="1" name="契约"/>
    <tableColumn id="2" name="方向"/>
    <tableColumn id="3" name="JSON Path"/>
    <tableColumn id="4" name="类型"/>
    <tableColumn id="5" name="必填"/>
    <tableColumn id="6" name="约束/枚举"/>
    <tableColumn id="7" name="含义"/>
    <tableColumn id="8" name="程序守卫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showGridLines="0" tabSelected="1" workbookViewId="0">
      <selection activeCell="B7" sqref="B7:H7"/>
    </sheetView>
  </sheetViews>
  <sheetFormatPr defaultColWidth="9" defaultRowHeight="15" outlineLevelCol="7"/>
  <cols>
    <col min="1" max="1" width="18" style="22" customWidth="1"/>
    <col min="2" max="2" width="92" style="22" customWidth="1"/>
    <col min="3" max="8" width="4" style="22" customWidth="1"/>
    <col min="9" max="16384" width="9" style="22"/>
  </cols>
  <sheetData>
    <row r="1" ht="24" customHeight="1" spans="1:8">
      <c r="A1" s="1" t="s">
        <v>0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</v>
      </c>
      <c r="B2" s="2"/>
      <c r="C2" s="2"/>
      <c r="D2" s="2"/>
      <c r="E2" s="2"/>
      <c r="F2" s="2"/>
      <c r="G2" s="2"/>
      <c r="H2" s="2"/>
    </row>
    <row r="3" ht="24" customHeight="1" spans="1:8">
      <c r="A3" s="9" t="s">
        <v>2</v>
      </c>
      <c r="B3" s="4" t="s">
        <v>3</v>
      </c>
      <c r="C3" s="2"/>
      <c r="D3" s="2"/>
      <c r="E3" s="2"/>
      <c r="F3" s="2"/>
      <c r="G3" s="2"/>
      <c r="H3" s="2"/>
    </row>
    <row r="4" ht="24" customHeight="1" spans="1:8">
      <c r="A4" s="9" t="s">
        <v>4</v>
      </c>
      <c r="B4" s="4" t="s">
        <v>5</v>
      </c>
      <c r="C4" s="2"/>
      <c r="D4" s="2"/>
      <c r="E4" s="2"/>
      <c r="F4" s="2"/>
      <c r="G4" s="2"/>
      <c r="H4" s="2"/>
    </row>
    <row r="5" ht="24" customHeight="1" spans="1:8">
      <c r="A5" s="9" t="s">
        <v>6</v>
      </c>
      <c r="B5" s="4" t="s">
        <v>7</v>
      </c>
      <c r="C5" s="2"/>
      <c r="D5" s="2"/>
      <c r="E5" s="2"/>
      <c r="F5" s="2"/>
      <c r="G5" s="2"/>
      <c r="H5" s="2"/>
    </row>
    <row r="6" ht="24" customHeight="1" spans="1:8">
      <c r="A6" s="9" t="s">
        <v>8</v>
      </c>
      <c r="B6" s="4" t="s">
        <v>9</v>
      </c>
      <c r="C6" s="2"/>
      <c r="D6" s="2"/>
      <c r="E6" s="2"/>
      <c r="F6" s="2"/>
      <c r="G6" s="2"/>
      <c r="H6" s="2"/>
    </row>
    <row r="7" ht="24" customHeight="1" spans="1:8">
      <c r="A7" s="9" t="s">
        <v>10</v>
      </c>
      <c r="B7" s="4" t="s">
        <v>11</v>
      </c>
      <c r="C7" s="2"/>
      <c r="D7" s="2"/>
      <c r="E7" s="2"/>
      <c r="F7" s="2"/>
      <c r="G7" s="2"/>
      <c r="H7" s="2"/>
    </row>
    <row r="8" ht="24" customHeight="1" spans="1:8">
      <c r="A8" s="9" t="s">
        <v>12</v>
      </c>
      <c r="B8" s="4" t="s">
        <v>13</v>
      </c>
      <c r="C8" s="2"/>
      <c r="D8" s="2"/>
      <c r="E8" s="2"/>
      <c r="F8" s="2"/>
      <c r="G8" s="2"/>
      <c r="H8" s="2"/>
    </row>
    <row r="9" ht="24" customHeight="1" spans="1:8">
      <c r="A9" s="9" t="s">
        <v>14</v>
      </c>
      <c r="B9" s="4"/>
      <c r="C9" s="2"/>
      <c r="D9" s="2"/>
      <c r="E9" s="2"/>
      <c r="F9" s="2"/>
      <c r="G9" s="2"/>
      <c r="H9" s="2"/>
    </row>
    <row r="10" ht="24" customHeight="1" spans="1:8">
      <c r="A10" s="9" t="s">
        <v>15</v>
      </c>
      <c r="B10" s="4" t="s">
        <v>16</v>
      </c>
      <c r="C10" s="2"/>
      <c r="D10" s="2"/>
      <c r="E10" s="2"/>
      <c r="F10" s="2"/>
      <c r="G10" s="2"/>
      <c r="H10" s="2"/>
    </row>
    <row r="11" ht="24" customHeight="1" spans="1:8">
      <c r="A11" s="9" t="s">
        <v>17</v>
      </c>
      <c r="B11" s="4" t="s">
        <v>18</v>
      </c>
      <c r="C11" s="2"/>
      <c r="D11" s="2"/>
      <c r="E11" s="2"/>
      <c r="F11" s="2"/>
      <c r="G11" s="2"/>
      <c r="H11" s="2"/>
    </row>
    <row r="12" ht="24" customHeight="1" spans="1:8">
      <c r="A12" s="9" t="s">
        <v>19</v>
      </c>
      <c r="B12" s="4" t="s">
        <v>20</v>
      </c>
      <c r="C12" s="2"/>
      <c r="D12" s="2"/>
      <c r="E12" s="2"/>
      <c r="F12" s="2"/>
      <c r="G12" s="2"/>
      <c r="H12" s="2"/>
    </row>
    <row r="13" ht="24" customHeight="1" spans="1:8">
      <c r="A13" s="9" t="s">
        <v>21</v>
      </c>
      <c r="B13" s="4" t="s">
        <v>22</v>
      </c>
      <c r="C13" s="2"/>
      <c r="D13" s="2"/>
      <c r="E13" s="2"/>
      <c r="F13" s="2"/>
      <c r="G13" s="2"/>
      <c r="H13" s="2"/>
    </row>
    <row r="14" ht="24" customHeight="1" spans="1:8">
      <c r="A14" s="9" t="s">
        <v>23</v>
      </c>
      <c r="B14" s="4" t="s">
        <v>24</v>
      </c>
      <c r="C14" s="2"/>
      <c r="D14" s="2"/>
      <c r="E14" s="2"/>
      <c r="F14" s="2"/>
      <c r="G14" s="2"/>
      <c r="H14" s="2"/>
    </row>
    <row r="15" ht="24" customHeight="1" spans="1:8">
      <c r="A15" s="2"/>
      <c r="B15" s="2"/>
      <c r="C15" s="2"/>
      <c r="D15" s="2"/>
      <c r="E15" s="2"/>
      <c r="F15" s="2"/>
      <c r="G15" s="2"/>
      <c r="H15" s="2"/>
    </row>
    <row r="16" ht="24" customHeight="1" spans="1:8">
      <c r="A16" s="2"/>
      <c r="B16" s="2"/>
      <c r="C16" s="2"/>
      <c r="D16" s="2"/>
      <c r="E16" s="2"/>
      <c r="F16" s="2"/>
      <c r="G16" s="2"/>
      <c r="H16" s="2"/>
    </row>
    <row r="17" ht="24" customHeight="1" spans="1:8">
      <c r="A17" s="2"/>
      <c r="B17" s="2"/>
      <c r="C17" s="2"/>
      <c r="D17" s="2"/>
      <c r="E17" s="2"/>
      <c r="F17" s="2"/>
      <c r="G17" s="2"/>
      <c r="H17" s="2"/>
    </row>
    <row r="18" ht="24" customHeight="1" spans="1:8">
      <c r="A18" s="2" t="s">
        <v>25</v>
      </c>
      <c r="B18" s="2"/>
      <c r="C18" s="2"/>
      <c r="D18" s="2"/>
      <c r="E18" s="2"/>
      <c r="F18" s="2"/>
      <c r="G18" s="2"/>
      <c r="H18" s="2"/>
    </row>
    <row r="19" ht="24" customHeight="1" spans="1:8">
      <c r="A19" s="2" t="s">
        <v>26</v>
      </c>
      <c r="B19" s="2"/>
      <c r="C19" s="2"/>
      <c r="D19" s="2"/>
      <c r="E19" s="2"/>
      <c r="F19" s="2"/>
      <c r="G19" s="2"/>
      <c r="H19" s="2"/>
    </row>
    <row r="20" ht="24" customHeight="1" spans="1:8">
      <c r="A20" s="2" t="s">
        <v>27</v>
      </c>
      <c r="B20" s="2"/>
      <c r="C20" s="2"/>
      <c r="D20" s="2"/>
      <c r="E20" s="2"/>
      <c r="F20" s="2"/>
      <c r="G20" s="2"/>
      <c r="H20" s="2"/>
    </row>
    <row r="21" ht="24" customHeight="1" spans="1:8">
      <c r="A21" s="2"/>
      <c r="B21" s="2"/>
      <c r="C21" s="2"/>
      <c r="D21" s="2"/>
      <c r="E21" s="2"/>
      <c r="F21" s="2"/>
      <c r="G21" s="2"/>
      <c r="H21" s="2"/>
    </row>
    <row r="22" ht="24" customHeight="1" spans="1:8">
      <c r="A22" s="2"/>
      <c r="B22" s="2"/>
      <c r="C22" s="2"/>
      <c r="D22" s="2"/>
      <c r="E22" s="2"/>
      <c r="F22" s="2"/>
      <c r="G22" s="2"/>
      <c r="H22" s="2"/>
    </row>
    <row r="23" ht="24" customHeight="1" spans="1:8">
      <c r="A23" s="2"/>
      <c r="B23" s="2"/>
      <c r="C23" s="2"/>
      <c r="D23" s="2"/>
      <c r="E23" s="2"/>
      <c r="F23" s="2"/>
      <c r="G23" s="2"/>
      <c r="H23" s="2"/>
    </row>
    <row r="24" ht="24" customHeight="1" spans="1:8">
      <c r="A24" s="2"/>
      <c r="B24" s="2"/>
      <c r="C24" s="2"/>
      <c r="D24" s="2"/>
      <c r="E24" s="2"/>
      <c r="F24" s="2"/>
      <c r="G24" s="2"/>
      <c r="H24" s="2"/>
    </row>
    <row r="25" ht="24" customHeight="1" spans="1:8">
      <c r="A25" s="2"/>
      <c r="B25" s="2"/>
      <c r="C25" s="2"/>
      <c r="D25" s="2"/>
      <c r="E25" s="2"/>
      <c r="F25" s="2"/>
      <c r="G25" s="2"/>
      <c r="H25" s="2"/>
    </row>
  </sheetData>
  <mergeCells count="17">
    <mergeCell ref="A1:H1"/>
    <mergeCell ref="A2:H2"/>
    <mergeCell ref="B3:H3"/>
    <mergeCell ref="B4:H4"/>
    <mergeCell ref="B5:H5"/>
    <mergeCell ref="B6:H6"/>
    <mergeCell ref="B7:H7"/>
    <mergeCell ref="B8:H8"/>
    <mergeCell ref="B9:H9"/>
    <mergeCell ref="B10:H10"/>
    <mergeCell ref="B11:H11"/>
    <mergeCell ref="A15:H15"/>
    <mergeCell ref="A16:H16"/>
    <mergeCell ref="A17:H17"/>
    <mergeCell ref="A18:H18"/>
    <mergeCell ref="A19:H19"/>
    <mergeCell ref="A20:H20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80"/>
  <sheetViews>
    <sheetView showGridLines="0" workbookViewId="0">
      <selection activeCell="A1" sqref="A1:A4"/>
    </sheetView>
  </sheetViews>
  <sheetFormatPr defaultColWidth="9" defaultRowHeight="15"/>
  <cols>
    <col min="1" max="1" width="13" style="18" customWidth="1"/>
    <col min="2" max="3" width="12" style="18" customWidth="1"/>
    <col min="4" max="4" width="42" style="18" customWidth="1"/>
    <col min="5" max="5" width="54" style="18" customWidth="1"/>
    <col min="6" max="6" width="9" style="18" customWidth="1"/>
    <col min="7" max="7" width="12" style="18" customWidth="1"/>
    <col min="8" max="8" width="10" style="18" customWidth="1"/>
    <col min="9" max="9" width="11" style="18" customWidth="1"/>
    <col min="10" max="10" width="22" style="18" customWidth="1"/>
    <col min="11" max="11" width="11" style="18" customWidth="1"/>
    <col min="12" max="12" width="24" style="18" customWidth="1"/>
    <col min="13" max="13" width="11" style="18" customWidth="1"/>
    <col min="14" max="14" width="42" style="18" customWidth="1"/>
    <col min="15" max="15" width="42" style="19" customWidth="1"/>
    <col min="16" max="21" width="10" style="18" customWidth="1"/>
    <col min="22" max="22" width="12" style="18" customWidth="1"/>
    <col min="23" max="16384" width="9" style="18"/>
  </cols>
  <sheetData>
    <row r="1" ht="44" customHeight="1" spans="1:22">
      <c r="A1" s="3" t="s">
        <v>28</v>
      </c>
      <c r="B1" s="3" t="s">
        <v>29</v>
      </c>
      <c r="C1" s="3" t="s">
        <v>30</v>
      </c>
      <c r="D1" s="3" t="s">
        <v>31</v>
      </c>
      <c r="E1" s="3" t="s">
        <v>32</v>
      </c>
      <c r="F1" s="3" t="s">
        <v>33</v>
      </c>
      <c r="G1" s="3" t="s">
        <v>34</v>
      </c>
      <c r="H1" s="3" t="s">
        <v>35</v>
      </c>
      <c r="I1" s="3" t="s">
        <v>36</v>
      </c>
      <c r="J1" s="3" t="s">
        <v>37</v>
      </c>
      <c r="K1" s="3" t="s">
        <v>38</v>
      </c>
      <c r="L1" s="3" t="s">
        <v>39</v>
      </c>
      <c r="M1" s="3" t="s">
        <v>40</v>
      </c>
      <c r="N1" s="3" t="s">
        <v>41</v>
      </c>
      <c r="O1" s="3" t="s">
        <v>42</v>
      </c>
      <c r="P1" s="3" t="s">
        <v>43</v>
      </c>
      <c r="Q1" s="3" t="s">
        <v>44</v>
      </c>
      <c r="R1" s="3" t="s">
        <v>45</v>
      </c>
      <c r="S1" s="3" t="s">
        <v>46</v>
      </c>
      <c r="T1" s="3" t="s">
        <v>47</v>
      </c>
      <c r="U1" s="3" t="s">
        <v>48</v>
      </c>
      <c r="V1" s="3" t="s">
        <v>49</v>
      </c>
    </row>
    <row r="2" ht="44" customHeight="1" spans="1:22">
      <c r="A2" s="3" t="s">
        <v>28</v>
      </c>
      <c r="B2" s="3" t="s">
        <v>29</v>
      </c>
      <c r="C2" s="3" t="s">
        <v>30</v>
      </c>
      <c r="D2" s="3" t="s">
        <v>31</v>
      </c>
      <c r="E2" s="3" t="s">
        <v>32</v>
      </c>
      <c r="F2" s="3" t="s">
        <v>33</v>
      </c>
      <c r="G2" s="3" t="s">
        <v>34</v>
      </c>
      <c r="H2" s="3" t="s">
        <v>35</v>
      </c>
      <c r="I2" s="3" t="s">
        <v>36</v>
      </c>
      <c r="J2" s="3" t="s">
        <v>37</v>
      </c>
      <c r="K2" s="3" t="s">
        <v>38</v>
      </c>
      <c r="L2" s="3" t="s">
        <v>39</v>
      </c>
      <c r="M2" s="3" t="s">
        <v>40</v>
      </c>
      <c r="N2" s="3" t="s">
        <v>41</v>
      </c>
      <c r="O2" s="3" t="s">
        <v>42</v>
      </c>
      <c r="P2" s="3" t="s">
        <v>43</v>
      </c>
      <c r="Q2" s="3" t="s">
        <v>44</v>
      </c>
      <c r="R2" s="3" t="s">
        <v>45</v>
      </c>
      <c r="S2" s="3" t="s">
        <v>46</v>
      </c>
      <c r="T2" s="3" t="s">
        <v>47</v>
      </c>
      <c r="U2" s="3" t="s">
        <v>48</v>
      </c>
      <c r="V2" s="3" t="s">
        <v>49</v>
      </c>
    </row>
    <row r="3" ht="44" customHeight="1" spans="1:22">
      <c r="A3" s="3" t="s">
        <v>28</v>
      </c>
      <c r="B3" s="3" t="s">
        <v>29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3" t="s">
        <v>35</v>
      </c>
      <c r="I3" s="3" t="s">
        <v>36</v>
      </c>
      <c r="J3" s="3" t="s">
        <v>37</v>
      </c>
      <c r="K3" s="3" t="s">
        <v>38</v>
      </c>
      <c r="L3" s="3" t="s">
        <v>39</v>
      </c>
      <c r="M3" s="3" t="s">
        <v>40</v>
      </c>
      <c r="N3" s="3" t="s">
        <v>41</v>
      </c>
      <c r="O3" s="3" t="s">
        <v>42</v>
      </c>
      <c r="P3" s="3" t="s">
        <v>43</v>
      </c>
      <c r="Q3" s="3" t="s">
        <v>44</v>
      </c>
      <c r="R3" s="3" t="s">
        <v>45</v>
      </c>
      <c r="S3" s="3" t="s">
        <v>46</v>
      </c>
      <c r="T3" s="3" t="s">
        <v>47</v>
      </c>
      <c r="U3" s="3" t="s">
        <v>48</v>
      </c>
      <c r="V3" s="3" t="s">
        <v>49</v>
      </c>
    </row>
    <row r="4" ht="44" customHeight="1" spans="1:22">
      <c r="A4" s="9" t="s">
        <v>28</v>
      </c>
      <c r="B4" s="9" t="s">
        <v>29</v>
      </c>
      <c r="C4" s="9" t="s">
        <v>30</v>
      </c>
      <c r="D4" s="9" t="s">
        <v>31</v>
      </c>
      <c r="E4" s="9" t="s">
        <v>32</v>
      </c>
      <c r="F4" s="9" t="s">
        <v>33</v>
      </c>
      <c r="G4" s="9" t="s">
        <v>34</v>
      </c>
      <c r="H4" s="9">
        <f t="shared" ref="H4:Q4" si="0">SUM($H$5:$H$36)</f>
        <v>35</v>
      </c>
      <c r="I4" s="9">
        <f t="shared" si="0"/>
        <v>35</v>
      </c>
      <c r="J4" s="9">
        <f t="shared" si="0"/>
        <v>35</v>
      </c>
      <c r="K4" s="9">
        <f t="shared" si="0"/>
        <v>35</v>
      </c>
      <c r="L4" s="9">
        <f t="shared" si="0"/>
        <v>35</v>
      </c>
      <c r="M4" s="9">
        <f t="shared" si="0"/>
        <v>35</v>
      </c>
      <c r="N4" s="9">
        <f t="shared" si="0"/>
        <v>35</v>
      </c>
      <c r="O4" s="9">
        <f t="shared" si="0"/>
        <v>35</v>
      </c>
      <c r="P4" s="9">
        <f t="shared" si="0"/>
        <v>35</v>
      </c>
      <c r="Q4" s="9">
        <f t="shared" si="0"/>
        <v>35</v>
      </c>
      <c r="R4" s="9">
        <f>SUM($R$5:$R$36)</f>
        <v>15</v>
      </c>
      <c r="S4" s="9">
        <f>SUM($S$5:$S$36)</f>
        <v>1</v>
      </c>
      <c r="T4" s="9">
        <f>SUM($T$5:$T$36)</f>
        <v>5</v>
      </c>
      <c r="U4" s="9">
        <f>SUM($U$5:$U$36)</f>
        <v>0</v>
      </c>
      <c r="V4" s="9" t="s">
        <v>49</v>
      </c>
    </row>
    <row r="5" ht="44" customHeight="1" spans="1:22">
      <c r="A5" s="20" t="s">
        <v>50</v>
      </c>
      <c r="B5" s="4" t="s">
        <v>51</v>
      </c>
      <c r="C5" s="4" t="s">
        <v>52</v>
      </c>
      <c r="D5" s="4" t="s">
        <v>53</v>
      </c>
      <c r="E5" s="4" t="s">
        <v>54</v>
      </c>
      <c r="F5" s="4" t="s">
        <v>55</v>
      </c>
      <c r="G5" s="4">
        <v>5</v>
      </c>
      <c r="H5" s="21">
        <v>1</v>
      </c>
      <c r="I5" s="4" t="s">
        <v>56</v>
      </c>
      <c r="J5" s="4" t="s">
        <v>57</v>
      </c>
      <c r="K5" s="4" t="s">
        <v>58</v>
      </c>
      <c r="L5" s="4" t="s">
        <v>59</v>
      </c>
      <c r="M5" s="4" t="s">
        <v>60</v>
      </c>
      <c r="N5" s="4" t="s">
        <v>61</v>
      </c>
      <c r="O5" s="4" t="s">
        <v>62</v>
      </c>
      <c r="P5" s="21">
        <f t="shared" ref="P5:P36" si="1">IF($I5="Day1",$H5,0)</f>
        <v>1</v>
      </c>
      <c r="Q5" s="21">
        <f t="shared" ref="Q5:Q36" si="2">IF(OR($M5="已完成",$M5="基本完成"),$P5,0)</f>
        <v>1</v>
      </c>
      <c r="R5" s="21">
        <f t="shared" ref="R5:R36" si="3">IF($I5="Day2",$H5,0)</f>
        <v>0</v>
      </c>
      <c r="S5" s="21">
        <f t="shared" ref="S5:S36" si="4">IF($M5="已完成",$R5,IF($M5="基本完成",$R5*0.5,0))</f>
        <v>0</v>
      </c>
      <c r="T5" s="21">
        <f t="shared" ref="T5:T36" si="5">IF($I5="Day3",$H5,0)</f>
        <v>0</v>
      </c>
      <c r="U5" s="21">
        <f t="shared" ref="U5:U36" si="6">IF($M5="已完成",$T5,0)</f>
        <v>0</v>
      </c>
      <c r="V5" s="4" t="str">
        <f t="shared" ref="V5:V36" si="7">IF($M5="已完成","完成",IF($M5="基本完成","需验收",IF($M5="进行中","进行中","待执行")))</f>
        <v>需验收</v>
      </c>
    </row>
    <row r="6" ht="44" customHeight="1" spans="1:22">
      <c r="A6" s="20" t="s">
        <v>63</v>
      </c>
      <c r="B6" s="4" t="s">
        <v>51</v>
      </c>
      <c r="C6" s="4" t="s">
        <v>52</v>
      </c>
      <c r="D6" s="4" t="s">
        <v>64</v>
      </c>
      <c r="E6" s="4" t="s">
        <v>65</v>
      </c>
      <c r="F6" s="4" t="s">
        <v>55</v>
      </c>
      <c r="G6" s="4" t="s">
        <v>66</v>
      </c>
      <c r="H6" s="21">
        <v>1</v>
      </c>
      <c r="I6" s="4" t="s">
        <v>56</v>
      </c>
      <c r="J6" s="4" t="s">
        <v>50</v>
      </c>
      <c r="K6" s="4" t="s">
        <v>58</v>
      </c>
      <c r="L6" s="4" t="s">
        <v>67</v>
      </c>
      <c r="M6" s="4" t="s">
        <v>68</v>
      </c>
      <c r="N6" s="4" t="s">
        <v>69</v>
      </c>
      <c r="O6" s="4" t="s">
        <v>70</v>
      </c>
      <c r="P6" s="21">
        <f t="shared" si="1"/>
        <v>1</v>
      </c>
      <c r="Q6" s="21">
        <f t="shared" si="2"/>
        <v>0</v>
      </c>
      <c r="R6" s="21">
        <f t="shared" si="3"/>
        <v>0</v>
      </c>
      <c r="S6" s="21">
        <f t="shared" si="4"/>
        <v>0</v>
      </c>
      <c r="T6" s="21">
        <f t="shared" si="5"/>
        <v>0</v>
      </c>
      <c r="U6" s="21">
        <f t="shared" si="6"/>
        <v>0</v>
      </c>
      <c r="V6" s="4" t="str">
        <f t="shared" si="7"/>
        <v>进行中</v>
      </c>
    </row>
    <row r="7" ht="44" customHeight="1" spans="1:22">
      <c r="A7" s="20" t="s">
        <v>71</v>
      </c>
      <c r="B7" s="4" t="s">
        <v>51</v>
      </c>
      <c r="C7" s="4" t="s">
        <v>52</v>
      </c>
      <c r="D7" s="4" t="s">
        <v>72</v>
      </c>
      <c r="E7" s="4" t="s">
        <v>73</v>
      </c>
      <c r="F7" s="4" t="s">
        <v>55</v>
      </c>
      <c r="G7" s="4" t="s">
        <v>66</v>
      </c>
      <c r="H7" s="21">
        <v>2</v>
      </c>
      <c r="I7" s="4" t="s">
        <v>56</v>
      </c>
      <c r="J7" s="4" t="s">
        <v>74</v>
      </c>
      <c r="K7" s="4" t="s">
        <v>58</v>
      </c>
      <c r="L7" s="4" t="s">
        <v>67</v>
      </c>
      <c r="M7" s="4" t="s">
        <v>68</v>
      </c>
      <c r="N7" s="4" t="s">
        <v>75</v>
      </c>
      <c r="O7" s="4" t="s">
        <v>76</v>
      </c>
      <c r="P7" s="21">
        <f t="shared" si="1"/>
        <v>2</v>
      </c>
      <c r="Q7" s="21">
        <f t="shared" si="2"/>
        <v>0</v>
      </c>
      <c r="R7" s="21">
        <f t="shared" si="3"/>
        <v>0</v>
      </c>
      <c r="S7" s="21">
        <f t="shared" si="4"/>
        <v>0</v>
      </c>
      <c r="T7" s="21">
        <f t="shared" si="5"/>
        <v>0</v>
      </c>
      <c r="U7" s="21">
        <f t="shared" si="6"/>
        <v>0</v>
      </c>
      <c r="V7" s="4" t="str">
        <f t="shared" si="7"/>
        <v>进行中</v>
      </c>
    </row>
    <row r="8" ht="44" customHeight="1" spans="1:22">
      <c r="A8" s="20" t="s">
        <v>77</v>
      </c>
      <c r="B8" s="4" t="s">
        <v>51</v>
      </c>
      <c r="C8" s="4" t="s">
        <v>52</v>
      </c>
      <c r="D8" s="4" t="s">
        <v>78</v>
      </c>
      <c r="E8" s="4" t="s">
        <v>79</v>
      </c>
      <c r="F8" s="4" t="s">
        <v>55</v>
      </c>
      <c r="G8" s="4" t="s">
        <v>66</v>
      </c>
      <c r="H8" s="21">
        <v>2</v>
      </c>
      <c r="I8" s="4" t="s">
        <v>80</v>
      </c>
      <c r="J8" s="4" t="s">
        <v>81</v>
      </c>
      <c r="K8" s="4" t="s">
        <v>58</v>
      </c>
      <c r="L8" s="4" t="s">
        <v>59</v>
      </c>
      <c r="M8" s="4" t="s">
        <v>68</v>
      </c>
      <c r="N8" s="4" t="s">
        <v>82</v>
      </c>
      <c r="O8" s="4" t="s">
        <v>83</v>
      </c>
      <c r="P8" s="21">
        <f t="shared" si="1"/>
        <v>0</v>
      </c>
      <c r="Q8" s="21">
        <f t="shared" si="2"/>
        <v>0</v>
      </c>
      <c r="R8" s="21">
        <f t="shared" si="3"/>
        <v>2</v>
      </c>
      <c r="S8" s="21">
        <f t="shared" si="4"/>
        <v>0</v>
      </c>
      <c r="T8" s="21">
        <f t="shared" si="5"/>
        <v>0</v>
      </c>
      <c r="U8" s="21">
        <f t="shared" si="6"/>
        <v>0</v>
      </c>
      <c r="V8" s="4" t="str">
        <f t="shared" si="7"/>
        <v>进行中</v>
      </c>
    </row>
    <row r="9" ht="44" customHeight="1" spans="1:22">
      <c r="A9" s="20" t="s">
        <v>84</v>
      </c>
      <c r="B9" s="4" t="s">
        <v>85</v>
      </c>
      <c r="C9" s="4" t="s">
        <v>86</v>
      </c>
      <c r="D9" s="4" t="s">
        <v>87</v>
      </c>
      <c r="E9" s="4" t="s">
        <v>88</v>
      </c>
      <c r="F9" s="4" t="s">
        <v>55</v>
      </c>
      <c r="G9" s="4">
        <v>3</v>
      </c>
      <c r="H9" s="21">
        <v>3</v>
      </c>
      <c r="I9" s="4" t="s">
        <v>80</v>
      </c>
      <c r="J9" s="4" t="s">
        <v>50</v>
      </c>
      <c r="K9" s="4" t="s">
        <v>58</v>
      </c>
      <c r="L9" s="4" t="s">
        <v>67</v>
      </c>
      <c r="M9" s="4" t="s">
        <v>89</v>
      </c>
      <c r="N9" s="4" t="s">
        <v>90</v>
      </c>
      <c r="O9" s="4" t="s">
        <v>91</v>
      </c>
      <c r="P9" s="21">
        <f t="shared" si="1"/>
        <v>0</v>
      </c>
      <c r="Q9" s="21">
        <f t="shared" si="2"/>
        <v>0</v>
      </c>
      <c r="R9" s="21">
        <f t="shared" si="3"/>
        <v>3</v>
      </c>
      <c r="S9" s="21">
        <f t="shared" si="4"/>
        <v>0</v>
      </c>
      <c r="T9" s="21">
        <f t="shared" si="5"/>
        <v>0</v>
      </c>
      <c r="U9" s="21">
        <f t="shared" si="6"/>
        <v>0</v>
      </c>
      <c r="V9" s="4" t="str">
        <f t="shared" si="7"/>
        <v>待执行</v>
      </c>
    </row>
    <row r="10" ht="44" customHeight="1" spans="1:22">
      <c r="A10" s="20" t="s">
        <v>92</v>
      </c>
      <c r="B10" s="4" t="s">
        <v>93</v>
      </c>
      <c r="C10" s="4" t="s">
        <v>94</v>
      </c>
      <c r="D10" s="4" t="s">
        <v>95</v>
      </c>
      <c r="E10" s="4" t="s">
        <v>96</v>
      </c>
      <c r="F10" s="4" t="s">
        <v>55</v>
      </c>
      <c r="G10" s="4" t="s">
        <v>66</v>
      </c>
      <c r="H10" s="21">
        <v>3</v>
      </c>
      <c r="I10" s="4" t="s">
        <v>56</v>
      </c>
      <c r="J10" s="4" t="s">
        <v>97</v>
      </c>
      <c r="K10" s="4" t="s">
        <v>98</v>
      </c>
      <c r="L10" s="4" t="s">
        <v>99</v>
      </c>
      <c r="M10" s="4" t="s">
        <v>60</v>
      </c>
      <c r="N10" s="4" t="s">
        <v>100</v>
      </c>
      <c r="O10" s="4" t="s">
        <v>101</v>
      </c>
      <c r="P10" s="21">
        <f t="shared" si="1"/>
        <v>3</v>
      </c>
      <c r="Q10" s="21">
        <f t="shared" si="2"/>
        <v>3</v>
      </c>
      <c r="R10" s="21">
        <f t="shared" si="3"/>
        <v>0</v>
      </c>
      <c r="S10" s="21">
        <f t="shared" si="4"/>
        <v>0</v>
      </c>
      <c r="T10" s="21">
        <f t="shared" si="5"/>
        <v>0</v>
      </c>
      <c r="U10" s="21">
        <f t="shared" si="6"/>
        <v>0</v>
      </c>
      <c r="V10" s="4" t="str">
        <f t="shared" si="7"/>
        <v>需验收</v>
      </c>
    </row>
    <row r="11" ht="44" customHeight="1" spans="1:22">
      <c r="A11" s="20" t="s">
        <v>102</v>
      </c>
      <c r="B11" s="4" t="s">
        <v>93</v>
      </c>
      <c r="C11" s="4" t="s">
        <v>94</v>
      </c>
      <c r="D11" s="4" t="s">
        <v>103</v>
      </c>
      <c r="E11" s="4" t="s">
        <v>104</v>
      </c>
      <c r="F11" s="4" t="s">
        <v>55</v>
      </c>
      <c r="G11" s="4">
        <v>5</v>
      </c>
      <c r="H11" s="21">
        <v>0</v>
      </c>
      <c r="I11" s="4" t="s">
        <v>56</v>
      </c>
      <c r="J11" s="4" t="s">
        <v>105</v>
      </c>
      <c r="K11" s="4" t="s">
        <v>98</v>
      </c>
      <c r="L11" s="4" t="s">
        <v>67</v>
      </c>
      <c r="M11" s="4" t="s">
        <v>106</v>
      </c>
      <c r="N11" s="4" t="s">
        <v>107</v>
      </c>
      <c r="O11" s="4" t="s">
        <v>108</v>
      </c>
      <c r="P11" s="21">
        <f t="shared" si="1"/>
        <v>0</v>
      </c>
      <c r="Q11" s="21">
        <f t="shared" si="2"/>
        <v>0</v>
      </c>
      <c r="R11" s="21">
        <f t="shared" si="3"/>
        <v>0</v>
      </c>
      <c r="S11" s="21">
        <f t="shared" si="4"/>
        <v>0</v>
      </c>
      <c r="T11" s="21">
        <f t="shared" si="5"/>
        <v>0</v>
      </c>
      <c r="U11" s="21">
        <f t="shared" si="6"/>
        <v>0</v>
      </c>
      <c r="V11" s="4" t="str">
        <f t="shared" si="7"/>
        <v>完成</v>
      </c>
    </row>
    <row r="12" ht="44" customHeight="1" spans="1:22">
      <c r="A12" s="20" t="s">
        <v>109</v>
      </c>
      <c r="B12" s="4" t="s">
        <v>93</v>
      </c>
      <c r="C12" s="4" t="s">
        <v>94</v>
      </c>
      <c r="D12" s="4" t="s">
        <v>110</v>
      </c>
      <c r="E12" s="4" t="s">
        <v>111</v>
      </c>
      <c r="F12" s="4" t="s">
        <v>55</v>
      </c>
      <c r="G12" s="4" t="s">
        <v>66</v>
      </c>
      <c r="H12" s="21">
        <v>0</v>
      </c>
      <c r="I12" s="4" t="s">
        <v>56</v>
      </c>
      <c r="J12" s="4" t="s">
        <v>92</v>
      </c>
      <c r="K12" s="4" t="s">
        <v>112</v>
      </c>
      <c r="L12" s="4" t="s">
        <v>59</v>
      </c>
      <c r="M12" s="4" t="s">
        <v>106</v>
      </c>
      <c r="N12" s="4" t="s">
        <v>113</v>
      </c>
      <c r="O12" s="4" t="s">
        <v>114</v>
      </c>
      <c r="P12" s="21">
        <f t="shared" si="1"/>
        <v>0</v>
      </c>
      <c r="Q12" s="21">
        <f t="shared" si="2"/>
        <v>0</v>
      </c>
      <c r="R12" s="21">
        <f t="shared" si="3"/>
        <v>0</v>
      </c>
      <c r="S12" s="21">
        <f t="shared" si="4"/>
        <v>0</v>
      </c>
      <c r="T12" s="21">
        <f t="shared" si="5"/>
        <v>0</v>
      </c>
      <c r="U12" s="21">
        <f t="shared" si="6"/>
        <v>0</v>
      </c>
      <c r="V12" s="4" t="str">
        <f t="shared" si="7"/>
        <v>完成</v>
      </c>
    </row>
    <row r="13" ht="44" customHeight="1" spans="1:22">
      <c r="A13" s="20" t="s">
        <v>115</v>
      </c>
      <c r="B13" s="4" t="s">
        <v>93</v>
      </c>
      <c r="C13" s="4" t="s">
        <v>94</v>
      </c>
      <c r="D13" s="4" t="s">
        <v>116</v>
      </c>
      <c r="E13" s="4" t="s">
        <v>117</v>
      </c>
      <c r="F13" s="4" t="s">
        <v>55</v>
      </c>
      <c r="G13" s="4" t="s">
        <v>66</v>
      </c>
      <c r="H13" s="21">
        <v>0</v>
      </c>
      <c r="I13" s="4" t="s">
        <v>80</v>
      </c>
      <c r="J13" s="4" t="s">
        <v>118</v>
      </c>
      <c r="K13" s="4" t="s">
        <v>98</v>
      </c>
      <c r="L13" s="4" t="s">
        <v>67</v>
      </c>
      <c r="M13" s="4" t="s">
        <v>106</v>
      </c>
      <c r="N13" s="4" t="s">
        <v>119</v>
      </c>
      <c r="O13" s="4" t="s">
        <v>120</v>
      </c>
      <c r="P13" s="21">
        <f t="shared" si="1"/>
        <v>0</v>
      </c>
      <c r="Q13" s="21">
        <f t="shared" si="2"/>
        <v>0</v>
      </c>
      <c r="R13" s="21">
        <f t="shared" si="3"/>
        <v>0</v>
      </c>
      <c r="S13" s="21">
        <f t="shared" si="4"/>
        <v>0</v>
      </c>
      <c r="T13" s="21">
        <f t="shared" si="5"/>
        <v>0</v>
      </c>
      <c r="U13" s="21">
        <f t="shared" si="6"/>
        <v>0</v>
      </c>
      <c r="V13" s="4" t="str">
        <f t="shared" si="7"/>
        <v>完成</v>
      </c>
    </row>
    <row r="14" ht="44" customHeight="1" spans="1:22">
      <c r="A14" s="20" t="s">
        <v>121</v>
      </c>
      <c r="B14" s="4" t="s">
        <v>93</v>
      </c>
      <c r="C14" s="4" t="s">
        <v>94</v>
      </c>
      <c r="D14" s="4" t="s">
        <v>122</v>
      </c>
      <c r="E14" s="4" t="s">
        <v>123</v>
      </c>
      <c r="F14" s="4" t="s">
        <v>55</v>
      </c>
      <c r="G14" s="4" t="s">
        <v>66</v>
      </c>
      <c r="H14" s="21">
        <v>2</v>
      </c>
      <c r="I14" s="4" t="s">
        <v>80</v>
      </c>
      <c r="J14" s="4" t="s">
        <v>124</v>
      </c>
      <c r="K14" s="4" t="s">
        <v>125</v>
      </c>
      <c r="L14" s="4" t="s">
        <v>126</v>
      </c>
      <c r="M14" s="4" t="s">
        <v>68</v>
      </c>
      <c r="N14" s="4" t="s">
        <v>127</v>
      </c>
      <c r="O14" s="4" t="s">
        <v>128</v>
      </c>
      <c r="P14" s="21">
        <f t="shared" si="1"/>
        <v>0</v>
      </c>
      <c r="Q14" s="21">
        <f t="shared" si="2"/>
        <v>0</v>
      </c>
      <c r="R14" s="21">
        <f t="shared" si="3"/>
        <v>2</v>
      </c>
      <c r="S14" s="21">
        <f t="shared" si="4"/>
        <v>0</v>
      </c>
      <c r="T14" s="21">
        <f t="shared" si="5"/>
        <v>0</v>
      </c>
      <c r="U14" s="21">
        <f t="shared" si="6"/>
        <v>0</v>
      </c>
      <c r="V14" s="4" t="str">
        <f t="shared" si="7"/>
        <v>进行中</v>
      </c>
    </row>
    <row r="15" ht="44" customHeight="1" spans="1:22">
      <c r="A15" s="20" t="s">
        <v>129</v>
      </c>
      <c r="B15" s="4" t="s">
        <v>130</v>
      </c>
      <c r="C15" s="4" t="s">
        <v>131</v>
      </c>
      <c r="D15" s="4" t="s">
        <v>132</v>
      </c>
      <c r="E15" s="4" t="s">
        <v>133</v>
      </c>
      <c r="F15" s="4" t="s">
        <v>55</v>
      </c>
      <c r="G15" s="4">
        <v>5</v>
      </c>
      <c r="H15" s="21">
        <v>0</v>
      </c>
      <c r="I15" s="4" t="s">
        <v>56</v>
      </c>
      <c r="J15" s="4" t="s">
        <v>134</v>
      </c>
      <c r="K15" s="4" t="s">
        <v>125</v>
      </c>
      <c r="L15" s="4" t="s">
        <v>67</v>
      </c>
      <c r="M15" s="4" t="s">
        <v>106</v>
      </c>
      <c r="N15" s="4" t="s">
        <v>135</v>
      </c>
      <c r="O15" s="4" t="s">
        <v>136</v>
      </c>
      <c r="P15" s="21">
        <f t="shared" si="1"/>
        <v>0</v>
      </c>
      <c r="Q15" s="21">
        <f t="shared" si="2"/>
        <v>0</v>
      </c>
      <c r="R15" s="21">
        <f t="shared" si="3"/>
        <v>0</v>
      </c>
      <c r="S15" s="21">
        <f t="shared" si="4"/>
        <v>0</v>
      </c>
      <c r="T15" s="21">
        <f t="shared" si="5"/>
        <v>0</v>
      </c>
      <c r="U15" s="21">
        <f t="shared" si="6"/>
        <v>0</v>
      </c>
      <c r="V15" s="4" t="str">
        <f t="shared" si="7"/>
        <v>完成</v>
      </c>
    </row>
    <row r="16" ht="44" customHeight="1" spans="1:22">
      <c r="A16" s="20" t="s">
        <v>137</v>
      </c>
      <c r="B16" s="4" t="s">
        <v>130</v>
      </c>
      <c r="C16" s="4" t="s">
        <v>131</v>
      </c>
      <c r="D16" s="4" t="s">
        <v>138</v>
      </c>
      <c r="E16" s="4" t="s">
        <v>139</v>
      </c>
      <c r="F16" s="4" t="s">
        <v>55</v>
      </c>
      <c r="G16" s="4" t="s">
        <v>66</v>
      </c>
      <c r="H16" s="21">
        <v>1</v>
      </c>
      <c r="I16" s="4" t="s">
        <v>80</v>
      </c>
      <c r="J16" s="4" t="s">
        <v>129</v>
      </c>
      <c r="K16" s="4" t="s">
        <v>125</v>
      </c>
      <c r="L16" s="4" t="s">
        <v>140</v>
      </c>
      <c r="M16" s="4" t="s">
        <v>68</v>
      </c>
      <c r="N16" s="4" t="s">
        <v>141</v>
      </c>
      <c r="O16" s="4" t="s">
        <v>142</v>
      </c>
      <c r="P16" s="21">
        <f t="shared" si="1"/>
        <v>0</v>
      </c>
      <c r="Q16" s="21">
        <f t="shared" si="2"/>
        <v>0</v>
      </c>
      <c r="R16" s="21">
        <f t="shared" si="3"/>
        <v>1</v>
      </c>
      <c r="S16" s="21">
        <f t="shared" si="4"/>
        <v>0</v>
      </c>
      <c r="T16" s="21">
        <f t="shared" si="5"/>
        <v>0</v>
      </c>
      <c r="U16" s="21">
        <f t="shared" si="6"/>
        <v>0</v>
      </c>
      <c r="V16" s="4" t="str">
        <f t="shared" si="7"/>
        <v>进行中</v>
      </c>
    </row>
    <row r="17" ht="44" customHeight="1" spans="1:22">
      <c r="A17" s="20" t="s">
        <v>143</v>
      </c>
      <c r="B17" s="4" t="s">
        <v>144</v>
      </c>
      <c r="C17" s="4" t="s">
        <v>145</v>
      </c>
      <c r="D17" s="4" t="s">
        <v>146</v>
      </c>
      <c r="E17" s="4" t="s">
        <v>147</v>
      </c>
      <c r="F17" s="4" t="s">
        <v>55</v>
      </c>
      <c r="G17" s="4">
        <v>5</v>
      </c>
      <c r="H17" s="21">
        <v>0</v>
      </c>
      <c r="I17" s="4" t="s">
        <v>56</v>
      </c>
      <c r="J17" s="4" t="s">
        <v>148</v>
      </c>
      <c r="K17" s="4" t="s">
        <v>98</v>
      </c>
      <c r="L17" s="4" t="s">
        <v>67</v>
      </c>
      <c r="M17" s="4" t="s">
        <v>106</v>
      </c>
      <c r="N17" s="4" t="s">
        <v>149</v>
      </c>
      <c r="O17" s="4" t="s">
        <v>150</v>
      </c>
      <c r="P17" s="21">
        <f t="shared" si="1"/>
        <v>0</v>
      </c>
      <c r="Q17" s="21">
        <f t="shared" si="2"/>
        <v>0</v>
      </c>
      <c r="R17" s="21">
        <f t="shared" si="3"/>
        <v>0</v>
      </c>
      <c r="S17" s="21">
        <f t="shared" si="4"/>
        <v>0</v>
      </c>
      <c r="T17" s="21">
        <f t="shared" si="5"/>
        <v>0</v>
      </c>
      <c r="U17" s="21">
        <f t="shared" si="6"/>
        <v>0</v>
      </c>
      <c r="V17" s="4" t="str">
        <f t="shared" si="7"/>
        <v>完成</v>
      </c>
    </row>
    <row r="18" ht="44" customHeight="1" spans="1:22">
      <c r="A18" s="20" t="s">
        <v>151</v>
      </c>
      <c r="B18" s="4" t="s">
        <v>144</v>
      </c>
      <c r="C18" s="4" t="s">
        <v>145</v>
      </c>
      <c r="D18" s="4" t="s">
        <v>152</v>
      </c>
      <c r="E18" s="4" t="s">
        <v>153</v>
      </c>
      <c r="F18" s="4" t="s">
        <v>55</v>
      </c>
      <c r="G18" s="4" t="s">
        <v>66</v>
      </c>
      <c r="H18" s="21">
        <v>0</v>
      </c>
      <c r="I18" s="4" t="s">
        <v>56</v>
      </c>
      <c r="J18" s="4" t="s">
        <v>143</v>
      </c>
      <c r="K18" s="4" t="s">
        <v>98</v>
      </c>
      <c r="L18" s="4" t="s">
        <v>154</v>
      </c>
      <c r="M18" s="4" t="s">
        <v>106</v>
      </c>
      <c r="N18" s="4" t="s">
        <v>155</v>
      </c>
      <c r="O18" s="4" t="s">
        <v>156</v>
      </c>
      <c r="P18" s="21">
        <f t="shared" si="1"/>
        <v>0</v>
      </c>
      <c r="Q18" s="21">
        <f t="shared" si="2"/>
        <v>0</v>
      </c>
      <c r="R18" s="21">
        <f t="shared" si="3"/>
        <v>0</v>
      </c>
      <c r="S18" s="21">
        <f t="shared" si="4"/>
        <v>0</v>
      </c>
      <c r="T18" s="21">
        <f t="shared" si="5"/>
        <v>0</v>
      </c>
      <c r="U18" s="21">
        <f t="shared" si="6"/>
        <v>0</v>
      </c>
      <c r="V18" s="4" t="str">
        <f t="shared" si="7"/>
        <v>完成</v>
      </c>
    </row>
    <row r="19" ht="44" customHeight="1" spans="1:22">
      <c r="A19" s="20" t="s">
        <v>157</v>
      </c>
      <c r="B19" s="4" t="s">
        <v>144</v>
      </c>
      <c r="C19" s="4" t="s">
        <v>145</v>
      </c>
      <c r="D19" s="4" t="s">
        <v>158</v>
      </c>
      <c r="E19" s="4" t="s">
        <v>159</v>
      </c>
      <c r="F19" s="4" t="s">
        <v>55</v>
      </c>
      <c r="G19" s="4" t="s">
        <v>66</v>
      </c>
      <c r="H19" s="21">
        <v>0</v>
      </c>
      <c r="I19" s="4" t="s">
        <v>56</v>
      </c>
      <c r="J19" s="4" t="s">
        <v>160</v>
      </c>
      <c r="K19" s="4" t="s">
        <v>125</v>
      </c>
      <c r="L19" s="4" t="s">
        <v>161</v>
      </c>
      <c r="M19" s="4" t="s">
        <v>60</v>
      </c>
      <c r="N19" s="4" t="s">
        <v>162</v>
      </c>
      <c r="O19" s="4" t="s">
        <v>163</v>
      </c>
      <c r="P19" s="21">
        <f t="shared" si="1"/>
        <v>0</v>
      </c>
      <c r="Q19" s="21">
        <f t="shared" si="2"/>
        <v>0</v>
      </c>
      <c r="R19" s="21">
        <f t="shared" si="3"/>
        <v>0</v>
      </c>
      <c r="S19" s="21">
        <f t="shared" si="4"/>
        <v>0</v>
      </c>
      <c r="T19" s="21">
        <f t="shared" si="5"/>
        <v>0</v>
      </c>
      <c r="U19" s="21">
        <f t="shared" si="6"/>
        <v>0</v>
      </c>
      <c r="V19" s="4" t="str">
        <f t="shared" si="7"/>
        <v>需验收</v>
      </c>
    </row>
    <row r="20" ht="44" customHeight="1" spans="1:22">
      <c r="A20" s="20" t="s">
        <v>164</v>
      </c>
      <c r="B20" s="4" t="s">
        <v>144</v>
      </c>
      <c r="C20" s="4" t="s">
        <v>145</v>
      </c>
      <c r="D20" s="4" t="s">
        <v>165</v>
      </c>
      <c r="E20" s="4" t="s">
        <v>166</v>
      </c>
      <c r="F20" s="4" t="s">
        <v>55</v>
      </c>
      <c r="G20" s="4" t="s">
        <v>66</v>
      </c>
      <c r="H20" s="21">
        <v>0</v>
      </c>
      <c r="I20" s="4" t="s">
        <v>80</v>
      </c>
      <c r="J20" s="4" t="s">
        <v>167</v>
      </c>
      <c r="K20" s="4" t="s">
        <v>98</v>
      </c>
      <c r="L20" s="4" t="s">
        <v>168</v>
      </c>
      <c r="M20" s="4" t="s">
        <v>106</v>
      </c>
      <c r="N20" s="4" t="s">
        <v>169</v>
      </c>
      <c r="O20" s="4" t="s">
        <v>170</v>
      </c>
      <c r="P20" s="21">
        <f t="shared" si="1"/>
        <v>0</v>
      </c>
      <c r="Q20" s="21">
        <f t="shared" si="2"/>
        <v>0</v>
      </c>
      <c r="R20" s="21">
        <f t="shared" si="3"/>
        <v>0</v>
      </c>
      <c r="S20" s="21">
        <f t="shared" si="4"/>
        <v>0</v>
      </c>
      <c r="T20" s="21">
        <f t="shared" si="5"/>
        <v>0</v>
      </c>
      <c r="U20" s="21">
        <f t="shared" si="6"/>
        <v>0</v>
      </c>
      <c r="V20" s="4" t="str">
        <f t="shared" si="7"/>
        <v>完成</v>
      </c>
    </row>
    <row r="21" ht="44" customHeight="1" spans="1:22">
      <c r="A21" s="20" t="s">
        <v>171</v>
      </c>
      <c r="B21" s="4" t="s">
        <v>172</v>
      </c>
      <c r="C21" s="4" t="s">
        <v>173</v>
      </c>
      <c r="D21" s="4" t="s">
        <v>174</v>
      </c>
      <c r="E21" s="4" t="s">
        <v>175</v>
      </c>
      <c r="F21" s="4" t="s">
        <v>55</v>
      </c>
      <c r="G21" s="4">
        <v>5</v>
      </c>
      <c r="H21" s="21">
        <v>0</v>
      </c>
      <c r="I21" s="4" t="s">
        <v>80</v>
      </c>
      <c r="J21" s="4" t="s">
        <v>176</v>
      </c>
      <c r="K21" s="4" t="s">
        <v>98</v>
      </c>
      <c r="L21" s="4" t="s">
        <v>154</v>
      </c>
      <c r="M21" s="4" t="s">
        <v>106</v>
      </c>
      <c r="N21" s="4" t="s">
        <v>177</v>
      </c>
      <c r="O21" s="4" t="s">
        <v>178</v>
      </c>
      <c r="P21" s="21">
        <f t="shared" si="1"/>
        <v>0</v>
      </c>
      <c r="Q21" s="21">
        <f t="shared" si="2"/>
        <v>0</v>
      </c>
      <c r="R21" s="21">
        <f t="shared" si="3"/>
        <v>0</v>
      </c>
      <c r="S21" s="21">
        <f t="shared" si="4"/>
        <v>0</v>
      </c>
      <c r="T21" s="21">
        <f t="shared" si="5"/>
        <v>0</v>
      </c>
      <c r="U21" s="21">
        <f t="shared" si="6"/>
        <v>0</v>
      </c>
      <c r="V21" s="4" t="str">
        <f t="shared" si="7"/>
        <v>完成</v>
      </c>
    </row>
    <row r="22" ht="44" customHeight="1" spans="1:22">
      <c r="A22" s="20" t="s">
        <v>179</v>
      </c>
      <c r="B22" s="4" t="s">
        <v>172</v>
      </c>
      <c r="C22" s="4" t="s">
        <v>173</v>
      </c>
      <c r="D22" s="4" t="s">
        <v>180</v>
      </c>
      <c r="E22" s="4" t="s">
        <v>181</v>
      </c>
      <c r="F22" s="4" t="s">
        <v>55</v>
      </c>
      <c r="G22" s="4" t="s">
        <v>66</v>
      </c>
      <c r="H22" s="21">
        <v>1</v>
      </c>
      <c r="I22" s="4" t="s">
        <v>80</v>
      </c>
      <c r="J22" s="4" t="s">
        <v>182</v>
      </c>
      <c r="K22" s="4" t="s">
        <v>125</v>
      </c>
      <c r="L22" s="4" t="s">
        <v>140</v>
      </c>
      <c r="M22" s="4" t="s">
        <v>68</v>
      </c>
      <c r="N22" s="4" t="s">
        <v>183</v>
      </c>
      <c r="O22" s="4" t="s">
        <v>184</v>
      </c>
      <c r="P22" s="21">
        <f t="shared" si="1"/>
        <v>0</v>
      </c>
      <c r="Q22" s="21">
        <f t="shared" si="2"/>
        <v>0</v>
      </c>
      <c r="R22" s="21">
        <f t="shared" si="3"/>
        <v>1</v>
      </c>
      <c r="S22" s="21">
        <f t="shared" si="4"/>
        <v>0</v>
      </c>
      <c r="T22" s="21">
        <f t="shared" si="5"/>
        <v>0</v>
      </c>
      <c r="U22" s="21">
        <f t="shared" si="6"/>
        <v>0</v>
      </c>
      <c r="V22" s="4" t="str">
        <f t="shared" si="7"/>
        <v>进行中</v>
      </c>
    </row>
    <row r="23" ht="44" customHeight="1" spans="1:22">
      <c r="A23" s="20" t="s">
        <v>185</v>
      </c>
      <c r="B23" s="4" t="s">
        <v>186</v>
      </c>
      <c r="C23" s="4" t="s">
        <v>187</v>
      </c>
      <c r="D23" s="4" t="s">
        <v>188</v>
      </c>
      <c r="E23" s="4" t="s">
        <v>189</v>
      </c>
      <c r="F23" s="4" t="s">
        <v>55</v>
      </c>
      <c r="G23" s="4">
        <v>5</v>
      </c>
      <c r="H23" s="21">
        <v>0</v>
      </c>
      <c r="I23" s="4" t="s">
        <v>56</v>
      </c>
      <c r="J23" s="4" t="s">
        <v>190</v>
      </c>
      <c r="K23" s="4" t="s">
        <v>112</v>
      </c>
      <c r="L23" s="4" t="s">
        <v>59</v>
      </c>
      <c r="M23" s="4" t="s">
        <v>106</v>
      </c>
      <c r="N23" s="4" t="s">
        <v>191</v>
      </c>
      <c r="O23" s="4" t="s">
        <v>192</v>
      </c>
      <c r="P23" s="21">
        <f t="shared" si="1"/>
        <v>0</v>
      </c>
      <c r="Q23" s="21">
        <f t="shared" si="2"/>
        <v>0</v>
      </c>
      <c r="R23" s="21">
        <f t="shared" si="3"/>
        <v>0</v>
      </c>
      <c r="S23" s="21">
        <f t="shared" si="4"/>
        <v>0</v>
      </c>
      <c r="T23" s="21">
        <f t="shared" si="5"/>
        <v>0</v>
      </c>
      <c r="U23" s="21">
        <f t="shared" si="6"/>
        <v>0</v>
      </c>
      <c r="V23" s="4" t="str">
        <f t="shared" si="7"/>
        <v>完成</v>
      </c>
    </row>
    <row r="24" ht="44" customHeight="1" spans="1:22">
      <c r="A24" s="20" t="s">
        <v>193</v>
      </c>
      <c r="B24" s="4" t="s">
        <v>186</v>
      </c>
      <c r="C24" s="4" t="s">
        <v>187</v>
      </c>
      <c r="D24" s="4" t="s">
        <v>194</v>
      </c>
      <c r="E24" s="4" t="s">
        <v>195</v>
      </c>
      <c r="F24" s="4" t="s">
        <v>55</v>
      </c>
      <c r="G24" s="4" t="s">
        <v>66</v>
      </c>
      <c r="H24" s="21">
        <v>0</v>
      </c>
      <c r="I24" s="4" t="s">
        <v>56</v>
      </c>
      <c r="J24" s="4" t="s">
        <v>185</v>
      </c>
      <c r="K24" s="4" t="s">
        <v>112</v>
      </c>
      <c r="L24" s="4" t="s">
        <v>168</v>
      </c>
      <c r="M24" s="4" t="s">
        <v>106</v>
      </c>
      <c r="N24" s="4" t="s">
        <v>196</v>
      </c>
      <c r="O24" s="4" t="s">
        <v>197</v>
      </c>
      <c r="P24" s="21">
        <f t="shared" si="1"/>
        <v>0</v>
      </c>
      <c r="Q24" s="21">
        <f t="shared" si="2"/>
        <v>0</v>
      </c>
      <c r="R24" s="21">
        <f t="shared" si="3"/>
        <v>0</v>
      </c>
      <c r="S24" s="21">
        <f t="shared" si="4"/>
        <v>0</v>
      </c>
      <c r="T24" s="21">
        <f t="shared" si="5"/>
        <v>0</v>
      </c>
      <c r="U24" s="21">
        <f t="shared" si="6"/>
        <v>0</v>
      </c>
      <c r="V24" s="4" t="str">
        <f t="shared" si="7"/>
        <v>完成</v>
      </c>
    </row>
    <row r="25" ht="44" customHeight="1" spans="1:22">
      <c r="A25" s="20" t="s">
        <v>198</v>
      </c>
      <c r="B25" s="4" t="s">
        <v>186</v>
      </c>
      <c r="C25" s="4" t="s">
        <v>187</v>
      </c>
      <c r="D25" s="4" t="s">
        <v>199</v>
      </c>
      <c r="E25" s="4" t="s">
        <v>200</v>
      </c>
      <c r="F25" s="4" t="s">
        <v>55</v>
      </c>
      <c r="G25" s="4" t="s">
        <v>66</v>
      </c>
      <c r="H25" s="21">
        <v>0</v>
      </c>
      <c r="I25" s="4" t="s">
        <v>80</v>
      </c>
      <c r="J25" s="4" t="s">
        <v>201</v>
      </c>
      <c r="K25" s="4" t="s">
        <v>112</v>
      </c>
      <c r="L25" s="4" t="s">
        <v>59</v>
      </c>
      <c r="M25" s="4" t="s">
        <v>106</v>
      </c>
      <c r="N25" s="4" t="s">
        <v>202</v>
      </c>
      <c r="O25" s="4" t="s">
        <v>203</v>
      </c>
      <c r="P25" s="21">
        <f t="shared" si="1"/>
        <v>0</v>
      </c>
      <c r="Q25" s="21">
        <f t="shared" si="2"/>
        <v>0</v>
      </c>
      <c r="R25" s="21">
        <f t="shared" si="3"/>
        <v>0</v>
      </c>
      <c r="S25" s="21">
        <f t="shared" si="4"/>
        <v>0</v>
      </c>
      <c r="T25" s="21">
        <f t="shared" si="5"/>
        <v>0</v>
      </c>
      <c r="U25" s="21">
        <f t="shared" si="6"/>
        <v>0</v>
      </c>
      <c r="V25" s="4" t="str">
        <f t="shared" si="7"/>
        <v>完成</v>
      </c>
    </row>
    <row r="26" ht="44" customHeight="1" spans="1:22">
      <c r="A26" s="20" t="s">
        <v>204</v>
      </c>
      <c r="B26" s="4" t="s">
        <v>186</v>
      </c>
      <c r="C26" s="4" t="s">
        <v>187</v>
      </c>
      <c r="D26" s="4" t="s">
        <v>205</v>
      </c>
      <c r="E26" s="4" t="s">
        <v>206</v>
      </c>
      <c r="F26" s="4" t="s">
        <v>55</v>
      </c>
      <c r="G26" s="4" t="s">
        <v>66</v>
      </c>
      <c r="H26" s="21">
        <v>0</v>
      </c>
      <c r="I26" s="4" t="s">
        <v>80</v>
      </c>
      <c r="J26" s="4" t="s">
        <v>198</v>
      </c>
      <c r="K26" s="4" t="s">
        <v>112</v>
      </c>
      <c r="L26" s="4" t="s">
        <v>154</v>
      </c>
      <c r="M26" s="4" t="s">
        <v>106</v>
      </c>
      <c r="N26" s="4" t="s">
        <v>207</v>
      </c>
      <c r="O26" s="4" t="s">
        <v>208</v>
      </c>
      <c r="P26" s="21">
        <f t="shared" si="1"/>
        <v>0</v>
      </c>
      <c r="Q26" s="21">
        <f t="shared" si="2"/>
        <v>0</v>
      </c>
      <c r="R26" s="21">
        <f t="shared" si="3"/>
        <v>0</v>
      </c>
      <c r="S26" s="21">
        <f t="shared" si="4"/>
        <v>0</v>
      </c>
      <c r="T26" s="21">
        <f t="shared" si="5"/>
        <v>0</v>
      </c>
      <c r="U26" s="21">
        <f t="shared" si="6"/>
        <v>0</v>
      </c>
      <c r="V26" s="4" t="str">
        <f t="shared" si="7"/>
        <v>完成</v>
      </c>
    </row>
    <row r="27" ht="44" customHeight="1" spans="1:22">
      <c r="A27" s="20" t="s">
        <v>209</v>
      </c>
      <c r="B27" s="4" t="s">
        <v>186</v>
      </c>
      <c r="C27" s="4" t="s">
        <v>187</v>
      </c>
      <c r="D27" s="4" t="s">
        <v>210</v>
      </c>
      <c r="E27" s="4" t="s">
        <v>211</v>
      </c>
      <c r="F27" s="4" t="s">
        <v>55</v>
      </c>
      <c r="G27" s="4" t="s">
        <v>66</v>
      </c>
      <c r="H27" s="21">
        <v>1</v>
      </c>
      <c r="I27" s="4" t="s">
        <v>80</v>
      </c>
      <c r="J27" s="4" t="s">
        <v>212</v>
      </c>
      <c r="K27" s="4" t="s">
        <v>125</v>
      </c>
      <c r="L27" s="4" t="s">
        <v>213</v>
      </c>
      <c r="M27" s="4" t="s">
        <v>68</v>
      </c>
      <c r="N27" s="4" t="s">
        <v>214</v>
      </c>
      <c r="O27" s="4" t="s">
        <v>215</v>
      </c>
      <c r="P27" s="21">
        <f t="shared" si="1"/>
        <v>0</v>
      </c>
      <c r="Q27" s="21">
        <f t="shared" si="2"/>
        <v>0</v>
      </c>
      <c r="R27" s="21">
        <f t="shared" si="3"/>
        <v>1</v>
      </c>
      <c r="S27" s="21">
        <f t="shared" si="4"/>
        <v>0</v>
      </c>
      <c r="T27" s="21">
        <f t="shared" si="5"/>
        <v>0</v>
      </c>
      <c r="U27" s="21">
        <f t="shared" si="6"/>
        <v>0</v>
      </c>
      <c r="V27" s="4" t="str">
        <f t="shared" si="7"/>
        <v>进行中</v>
      </c>
    </row>
    <row r="28" ht="44" customHeight="1" spans="1:22">
      <c r="A28" s="20" t="s">
        <v>216</v>
      </c>
      <c r="B28" s="4" t="s">
        <v>217</v>
      </c>
      <c r="C28" s="4" t="s">
        <v>218</v>
      </c>
      <c r="D28" s="4" t="s">
        <v>219</v>
      </c>
      <c r="E28" s="4" t="s">
        <v>220</v>
      </c>
      <c r="F28" s="4" t="s">
        <v>55</v>
      </c>
      <c r="G28" s="4">
        <v>3</v>
      </c>
      <c r="H28" s="21">
        <v>2</v>
      </c>
      <c r="I28" s="4" t="s">
        <v>221</v>
      </c>
      <c r="J28" s="4" t="s">
        <v>222</v>
      </c>
      <c r="K28" s="4" t="s">
        <v>112</v>
      </c>
      <c r="L28" s="4" t="s">
        <v>223</v>
      </c>
      <c r="M28" s="4" t="s">
        <v>89</v>
      </c>
      <c r="N28" s="4" t="s">
        <v>224</v>
      </c>
      <c r="O28" s="4" t="s">
        <v>225</v>
      </c>
      <c r="P28" s="21">
        <f t="shared" si="1"/>
        <v>0</v>
      </c>
      <c r="Q28" s="21">
        <f t="shared" si="2"/>
        <v>0</v>
      </c>
      <c r="R28" s="21">
        <f t="shared" si="3"/>
        <v>0</v>
      </c>
      <c r="S28" s="21">
        <f t="shared" si="4"/>
        <v>0</v>
      </c>
      <c r="T28" s="21">
        <f t="shared" si="5"/>
        <v>2</v>
      </c>
      <c r="U28" s="21">
        <f t="shared" si="6"/>
        <v>0</v>
      </c>
      <c r="V28" s="4" t="str">
        <f t="shared" si="7"/>
        <v>待执行</v>
      </c>
    </row>
    <row r="29" ht="44" customHeight="1" spans="1:22">
      <c r="A29" s="20" t="s">
        <v>226</v>
      </c>
      <c r="B29" s="4" t="s">
        <v>227</v>
      </c>
      <c r="C29" s="4" t="s">
        <v>228</v>
      </c>
      <c r="D29" s="4" t="s">
        <v>229</v>
      </c>
      <c r="E29" s="4" t="s">
        <v>230</v>
      </c>
      <c r="F29" s="4" t="s">
        <v>55</v>
      </c>
      <c r="G29" s="4">
        <v>5</v>
      </c>
      <c r="H29" s="21">
        <v>3</v>
      </c>
      <c r="I29" s="4" t="s">
        <v>56</v>
      </c>
      <c r="J29" s="4" t="s">
        <v>231</v>
      </c>
      <c r="K29" s="4" t="s">
        <v>125</v>
      </c>
      <c r="L29" s="4" t="s">
        <v>232</v>
      </c>
      <c r="M29" s="4" t="s">
        <v>68</v>
      </c>
      <c r="N29" s="4" t="s">
        <v>233</v>
      </c>
      <c r="O29" s="4" t="s">
        <v>234</v>
      </c>
      <c r="P29" s="21">
        <f t="shared" si="1"/>
        <v>3</v>
      </c>
      <c r="Q29" s="21">
        <f t="shared" si="2"/>
        <v>0</v>
      </c>
      <c r="R29" s="21">
        <f t="shared" si="3"/>
        <v>0</v>
      </c>
      <c r="S29" s="21">
        <f t="shared" si="4"/>
        <v>0</v>
      </c>
      <c r="T29" s="21">
        <f t="shared" si="5"/>
        <v>0</v>
      </c>
      <c r="U29" s="21">
        <f t="shared" si="6"/>
        <v>0</v>
      </c>
      <c r="V29" s="4" t="str">
        <f t="shared" si="7"/>
        <v>进行中</v>
      </c>
    </row>
    <row r="30" ht="44" customHeight="1" spans="1:22">
      <c r="A30" s="20" t="s">
        <v>235</v>
      </c>
      <c r="B30" s="4" t="s">
        <v>227</v>
      </c>
      <c r="C30" s="4" t="s">
        <v>236</v>
      </c>
      <c r="D30" s="4" t="s">
        <v>237</v>
      </c>
      <c r="E30" s="4" t="s">
        <v>238</v>
      </c>
      <c r="F30" s="4" t="s">
        <v>55</v>
      </c>
      <c r="G30" s="4" t="s">
        <v>66</v>
      </c>
      <c r="H30" s="21">
        <v>3</v>
      </c>
      <c r="I30" s="4" t="s">
        <v>56</v>
      </c>
      <c r="J30" s="4" t="s">
        <v>239</v>
      </c>
      <c r="K30" s="4" t="s">
        <v>125</v>
      </c>
      <c r="L30" s="4" t="s">
        <v>240</v>
      </c>
      <c r="M30" s="4" t="s">
        <v>68</v>
      </c>
      <c r="N30" s="4" t="s">
        <v>241</v>
      </c>
      <c r="O30" s="4" t="s">
        <v>242</v>
      </c>
      <c r="P30" s="21">
        <f t="shared" si="1"/>
        <v>3</v>
      </c>
      <c r="Q30" s="21">
        <f t="shared" si="2"/>
        <v>0</v>
      </c>
      <c r="R30" s="21">
        <f t="shared" si="3"/>
        <v>0</v>
      </c>
      <c r="S30" s="21">
        <f t="shared" si="4"/>
        <v>0</v>
      </c>
      <c r="T30" s="21">
        <f t="shared" si="5"/>
        <v>0</v>
      </c>
      <c r="U30" s="21">
        <f t="shared" si="6"/>
        <v>0</v>
      </c>
      <c r="V30" s="4" t="str">
        <f t="shared" si="7"/>
        <v>进行中</v>
      </c>
    </row>
    <row r="31" ht="44" customHeight="1" spans="1:22">
      <c r="A31" s="20" t="s">
        <v>243</v>
      </c>
      <c r="B31" s="4" t="s">
        <v>227</v>
      </c>
      <c r="C31" s="4" t="s">
        <v>244</v>
      </c>
      <c r="D31" s="4" t="s">
        <v>245</v>
      </c>
      <c r="E31" s="4" t="s">
        <v>246</v>
      </c>
      <c r="F31" s="4" t="s">
        <v>55</v>
      </c>
      <c r="G31" s="4" t="s">
        <v>66</v>
      </c>
      <c r="H31" s="21">
        <v>0</v>
      </c>
      <c r="I31" s="4" t="s">
        <v>56</v>
      </c>
      <c r="J31" s="4" t="s">
        <v>235</v>
      </c>
      <c r="K31" s="4" t="s">
        <v>125</v>
      </c>
      <c r="L31" s="4" t="s">
        <v>67</v>
      </c>
      <c r="M31" s="4" t="s">
        <v>60</v>
      </c>
      <c r="N31" s="4" t="s">
        <v>247</v>
      </c>
      <c r="O31" s="4" t="s">
        <v>248</v>
      </c>
      <c r="P31" s="21">
        <f t="shared" si="1"/>
        <v>0</v>
      </c>
      <c r="Q31" s="21">
        <f t="shared" si="2"/>
        <v>0</v>
      </c>
      <c r="R31" s="21">
        <f t="shared" si="3"/>
        <v>0</v>
      </c>
      <c r="S31" s="21">
        <f t="shared" si="4"/>
        <v>0</v>
      </c>
      <c r="T31" s="21">
        <f t="shared" si="5"/>
        <v>0</v>
      </c>
      <c r="U31" s="21">
        <f t="shared" si="6"/>
        <v>0</v>
      </c>
      <c r="V31" s="4" t="str">
        <f t="shared" si="7"/>
        <v>需验收</v>
      </c>
    </row>
    <row r="32" ht="44" customHeight="1" spans="1:22">
      <c r="A32" s="20" t="s">
        <v>249</v>
      </c>
      <c r="B32" s="4" t="s">
        <v>250</v>
      </c>
      <c r="C32" s="4" t="s">
        <v>251</v>
      </c>
      <c r="D32" s="4" t="s">
        <v>252</v>
      </c>
      <c r="E32" s="4" t="s">
        <v>253</v>
      </c>
      <c r="F32" s="4" t="s">
        <v>55</v>
      </c>
      <c r="G32" s="4">
        <v>5</v>
      </c>
      <c r="H32" s="21">
        <v>2</v>
      </c>
      <c r="I32" s="4" t="s">
        <v>56</v>
      </c>
      <c r="J32" s="4" t="s">
        <v>254</v>
      </c>
      <c r="K32" s="4" t="s">
        <v>98</v>
      </c>
      <c r="L32" s="4" t="s">
        <v>67</v>
      </c>
      <c r="M32" s="4" t="s">
        <v>68</v>
      </c>
      <c r="N32" s="4" t="s">
        <v>255</v>
      </c>
      <c r="O32" s="4" t="s">
        <v>256</v>
      </c>
      <c r="P32" s="21">
        <f t="shared" si="1"/>
        <v>2</v>
      </c>
      <c r="Q32" s="21">
        <f t="shared" si="2"/>
        <v>0</v>
      </c>
      <c r="R32" s="21">
        <f t="shared" si="3"/>
        <v>0</v>
      </c>
      <c r="S32" s="21">
        <f t="shared" si="4"/>
        <v>0</v>
      </c>
      <c r="T32" s="21">
        <f t="shared" si="5"/>
        <v>0</v>
      </c>
      <c r="U32" s="21">
        <f t="shared" si="6"/>
        <v>0</v>
      </c>
      <c r="V32" s="4" t="str">
        <f t="shared" si="7"/>
        <v>进行中</v>
      </c>
    </row>
    <row r="33" ht="44" customHeight="1" spans="1:22">
      <c r="A33" s="20" t="s">
        <v>257</v>
      </c>
      <c r="B33" s="4" t="s">
        <v>250</v>
      </c>
      <c r="C33" s="4" t="s">
        <v>258</v>
      </c>
      <c r="D33" s="4" t="s">
        <v>259</v>
      </c>
      <c r="E33" s="4" t="s">
        <v>260</v>
      </c>
      <c r="F33" s="4" t="s">
        <v>55</v>
      </c>
      <c r="G33" s="4" t="s">
        <v>66</v>
      </c>
      <c r="H33" s="21">
        <v>2</v>
      </c>
      <c r="I33" s="4" t="s">
        <v>80</v>
      </c>
      <c r="J33" s="4" t="s">
        <v>71</v>
      </c>
      <c r="K33" s="4" t="s">
        <v>112</v>
      </c>
      <c r="L33" s="4" t="s">
        <v>168</v>
      </c>
      <c r="M33" s="4" t="s">
        <v>68</v>
      </c>
      <c r="N33" s="4" t="s">
        <v>261</v>
      </c>
      <c r="O33" s="4" t="s">
        <v>76</v>
      </c>
      <c r="P33" s="21">
        <f t="shared" si="1"/>
        <v>0</v>
      </c>
      <c r="Q33" s="21">
        <f t="shared" si="2"/>
        <v>0</v>
      </c>
      <c r="R33" s="21">
        <f t="shared" si="3"/>
        <v>2</v>
      </c>
      <c r="S33" s="21">
        <f t="shared" si="4"/>
        <v>0</v>
      </c>
      <c r="T33" s="21">
        <f t="shared" si="5"/>
        <v>0</v>
      </c>
      <c r="U33" s="21">
        <f t="shared" si="6"/>
        <v>0</v>
      </c>
      <c r="V33" s="4" t="str">
        <f t="shared" si="7"/>
        <v>进行中</v>
      </c>
    </row>
    <row r="34" ht="44" customHeight="1" spans="1:22">
      <c r="A34" s="20" t="s">
        <v>262</v>
      </c>
      <c r="B34" s="4" t="s">
        <v>263</v>
      </c>
      <c r="C34" s="4" t="s">
        <v>264</v>
      </c>
      <c r="D34" s="4" t="s">
        <v>265</v>
      </c>
      <c r="E34" s="4" t="s">
        <v>266</v>
      </c>
      <c r="F34" s="4" t="s">
        <v>55</v>
      </c>
      <c r="G34" s="4">
        <v>5</v>
      </c>
      <c r="H34" s="21">
        <v>2</v>
      </c>
      <c r="I34" s="4" t="s">
        <v>80</v>
      </c>
      <c r="J34" s="4" t="s">
        <v>267</v>
      </c>
      <c r="K34" s="4" t="s">
        <v>98</v>
      </c>
      <c r="L34" s="4" t="s">
        <v>168</v>
      </c>
      <c r="M34" s="4" t="s">
        <v>68</v>
      </c>
      <c r="N34" s="4" t="s">
        <v>268</v>
      </c>
      <c r="O34" s="4" t="s">
        <v>269</v>
      </c>
      <c r="P34" s="21">
        <f t="shared" si="1"/>
        <v>0</v>
      </c>
      <c r="Q34" s="21">
        <f t="shared" si="2"/>
        <v>0</v>
      </c>
      <c r="R34" s="21">
        <f t="shared" si="3"/>
        <v>2</v>
      </c>
      <c r="S34" s="21">
        <f t="shared" si="4"/>
        <v>0</v>
      </c>
      <c r="T34" s="21">
        <f t="shared" si="5"/>
        <v>0</v>
      </c>
      <c r="U34" s="21">
        <f t="shared" si="6"/>
        <v>0</v>
      </c>
      <c r="V34" s="4" t="str">
        <f t="shared" si="7"/>
        <v>进行中</v>
      </c>
    </row>
    <row r="35" ht="44" customHeight="1" spans="1:22">
      <c r="A35" s="20" t="s">
        <v>270</v>
      </c>
      <c r="B35" s="4" t="s">
        <v>263</v>
      </c>
      <c r="C35" s="4" t="s">
        <v>271</v>
      </c>
      <c r="D35" s="4" t="s">
        <v>272</v>
      </c>
      <c r="E35" s="4" t="s">
        <v>273</v>
      </c>
      <c r="F35" s="4" t="s">
        <v>55</v>
      </c>
      <c r="G35" s="4" t="s">
        <v>66</v>
      </c>
      <c r="H35" s="21">
        <v>1</v>
      </c>
      <c r="I35" s="4" t="s">
        <v>80</v>
      </c>
      <c r="J35" s="4" t="s">
        <v>262</v>
      </c>
      <c r="K35" s="4" t="s">
        <v>98</v>
      </c>
      <c r="L35" s="4" t="s">
        <v>67</v>
      </c>
      <c r="M35" s="4" t="s">
        <v>106</v>
      </c>
      <c r="N35" s="4" t="s">
        <v>274</v>
      </c>
      <c r="O35" s="4" t="s">
        <v>275</v>
      </c>
      <c r="P35" s="21">
        <f t="shared" si="1"/>
        <v>0</v>
      </c>
      <c r="Q35" s="21">
        <f t="shared" si="2"/>
        <v>0</v>
      </c>
      <c r="R35" s="21">
        <f t="shared" si="3"/>
        <v>1</v>
      </c>
      <c r="S35" s="21">
        <f t="shared" si="4"/>
        <v>1</v>
      </c>
      <c r="T35" s="21">
        <f t="shared" si="5"/>
        <v>0</v>
      </c>
      <c r="U35" s="21">
        <f t="shared" si="6"/>
        <v>0</v>
      </c>
      <c r="V35" s="4" t="str">
        <f t="shared" si="7"/>
        <v>完成</v>
      </c>
    </row>
    <row r="36" ht="44" customHeight="1" spans="1:22">
      <c r="A36" s="20" t="s">
        <v>276</v>
      </c>
      <c r="B36" s="4" t="s">
        <v>277</v>
      </c>
      <c r="C36" s="4" t="s">
        <v>278</v>
      </c>
      <c r="D36" s="4" t="s">
        <v>279</v>
      </c>
      <c r="E36" s="4" t="s">
        <v>280</v>
      </c>
      <c r="F36" s="4" t="s">
        <v>55</v>
      </c>
      <c r="G36" s="4">
        <v>3</v>
      </c>
      <c r="H36" s="21">
        <v>3</v>
      </c>
      <c r="I36" s="4" t="s">
        <v>221</v>
      </c>
      <c r="J36" s="4" t="s">
        <v>281</v>
      </c>
      <c r="K36" s="4" t="s">
        <v>112</v>
      </c>
      <c r="L36" s="4" t="s">
        <v>282</v>
      </c>
      <c r="M36" s="4" t="s">
        <v>89</v>
      </c>
      <c r="N36" s="4" t="s">
        <v>283</v>
      </c>
      <c r="O36" s="4" t="s">
        <v>284</v>
      </c>
      <c r="P36" s="21">
        <f t="shared" si="1"/>
        <v>0</v>
      </c>
      <c r="Q36" s="21">
        <f t="shared" si="2"/>
        <v>0</v>
      </c>
      <c r="R36" s="21">
        <f t="shared" si="3"/>
        <v>0</v>
      </c>
      <c r="S36" s="21">
        <f t="shared" si="4"/>
        <v>0</v>
      </c>
      <c r="T36" s="21">
        <f t="shared" si="5"/>
        <v>3</v>
      </c>
      <c r="U36" s="21">
        <f t="shared" si="6"/>
        <v>0</v>
      </c>
      <c r="V36" s="4" t="str">
        <f t="shared" si="7"/>
        <v>待执行</v>
      </c>
    </row>
    <row r="37" ht="44" customHeight="1" spans="1:2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ht="44" customHeight="1" spans="1:2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ht="44" customHeight="1" spans="1:2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ht="44" customHeight="1" spans="1:2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ht="14.4" customHeight="1" spans="1:2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ht="14.4" customHeight="1" spans="1:2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ht="14.4" customHeight="1" spans="1:2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ht="14.4" customHeight="1" spans="1:2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ht="14.4" customHeight="1" spans="1:2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ht="14.4" customHeight="1" spans="1:2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ht="14.4" customHeight="1" spans="1:2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ht="14.4" customHeight="1" spans="1:2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ht="14.4" customHeight="1" spans="1:2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ht="14.4" customHeight="1" spans="1:2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ht="14.4" customHeight="1" spans="1:2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ht="14.4" customHeight="1" spans="1:2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ht="14.4" customHeight="1" spans="1:2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ht="14.4" customHeight="1" spans="1:2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ht="14.4" customHeight="1" spans="1:2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ht="14.4" customHeight="1" spans="1:2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ht="14.4" customHeight="1" spans="1:2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ht="14.4" customHeight="1" spans="1:2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ht="14.4" customHeight="1" spans="1:2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ht="14.4" customHeight="1" spans="1:2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ht="14.4" customHeight="1" spans="1:2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ht="14.4" customHeight="1" spans="1:2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ht="14.4" customHeight="1" spans="1:2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ht="14.4" customHeight="1" spans="1:2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ht="14.4" customHeight="1" spans="1:2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ht="14.4" customHeight="1" spans="1:2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ht="14.4" customHeight="1" spans="1:2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ht="14.4" customHeight="1" spans="1:2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ht="14.4" customHeight="1" spans="1:2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ht="14.4" customHeight="1" spans="1:2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ht="14.4" customHeight="1" spans="1:2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ht="14.4" customHeight="1" spans="1:2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ht="14.4" customHeight="1" spans="1:2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ht="14.4" customHeight="1" spans="1:2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ht="14.4" customHeight="1" spans="1:2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ht="14.4" customHeight="1" spans="1:2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ht="14.4" customHeight="1" spans="1:2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ht="14.4" customHeight="1" spans="1:2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ht="14.4" customHeight="1" spans="1:2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ht="14.4" customHeight="1" spans="1:2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</sheetData>
  <mergeCells count="23">
    <mergeCell ref="P1:U1"/>
    <mergeCell ref="A1:A4"/>
    <mergeCell ref="B1:B4"/>
    <mergeCell ref="C1:C4"/>
    <mergeCell ref="D1:D4"/>
    <mergeCell ref="E1:E4"/>
    <mergeCell ref="F1:F4"/>
    <mergeCell ref="G1:G4"/>
    <mergeCell ref="H1:H4"/>
    <mergeCell ref="I1:I4"/>
    <mergeCell ref="J1:J4"/>
    <mergeCell ref="K1:K4"/>
    <mergeCell ref="L1:L4"/>
    <mergeCell ref="M1:M4"/>
    <mergeCell ref="N1:N4"/>
    <mergeCell ref="O1:O4"/>
    <mergeCell ref="P2:P4"/>
    <mergeCell ref="Q2:Q4"/>
    <mergeCell ref="R2:R4"/>
    <mergeCell ref="S2:S4"/>
    <mergeCell ref="T2:T4"/>
    <mergeCell ref="U2:U4"/>
    <mergeCell ref="V1:V4"/>
  </mergeCells>
  <conditionalFormatting sqref="M5:M28">
    <cfRule type="containsText" dxfId="0" priority="1" operator="between" text="已完成">
      <formula>NOT(ISERROR(SEARCH("已完成",M5)))</formula>
    </cfRule>
    <cfRule type="containsText" dxfId="1" priority="2" operator="between" text="阻塞">
      <formula>NOT(ISERROR(SEARCH("阻塞",M5)))</formula>
    </cfRule>
    <cfRule type="containsText" dxfId="2" priority="3" operator="between" text="进行中">
      <formula>NOT(ISERROR(SEARCH("进行中",M5)))</formula>
    </cfRule>
    <cfRule type="containsText" dxfId="3" priority="4" operator="between" text="计划中">
      <formula>NOT(ISERROR(SEARCH("计划中",M5)))</formula>
    </cfRule>
    <cfRule type="containsText" dxfId="4" priority="5" operator="between" text="进行中">
      <formula>NOT(ISERROR(SEARCH("进行中",M5)))</formula>
    </cfRule>
    <cfRule type="containsText" dxfId="5" priority="6" operator="between" text="已完成">
      <formula>NOT(ISERROR(SEARCH("已完成",M5)))</formula>
    </cfRule>
    <cfRule type="containsText" dxfId="6" priority="7" operator="between" text="阻塞">
      <formula>NOT(ISERROR(SEARCH("阻塞",M5)))</formula>
    </cfRule>
  </conditionalFormatting>
  <conditionalFormatting sqref="V5:V28">
    <cfRule type="containsText" dxfId="3" priority="8" operator="between" text="待执行">
      <formula>NOT(ISERROR(SEARCH("待执行",V5)))</formula>
    </cfRule>
  </conditionalFormatting>
  <dataValidations count="8">
    <dataValidation type="list" sqref="F5:F28">
      <formula1>"Must,Should,Could"</formula1>
    </dataValidation>
    <dataValidation type="whole" operator="between" sqref="H5:H28">
      <formula1>1</formula1>
      <formula2>8</formula2>
    </dataValidation>
    <dataValidation type="list" showInputMessage="1" showErrorMessage="1" sqref="I5:I28">
      <formula1>"Day1,Day2,Day3"</formula1>
    </dataValidation>
    <dataValidation type="list" sqref="I29:I36">
      <formula1>"Day1,Day2,Day3"</formula1>
    </dataValidation>
    <dataValidation type="list" sqref="K5:K28 K29:K36">
      <formula1>"陈梓元,王敬博,张琪,林粲涵"</formula1>
    </dataValidation>
    <dataValidation type="list" sqref="M5:M28">
      <formula1>"计划中,进行中,已完成,阻塞"</formula1>
    </dataValidation>
    <dataValidation type="list" sqref="M29:M36">
      <formula1>"未开始,进行中,基本完成,已完成"</formula1>
    </dataValidation>
    <dataValidation type="whole" operator="between" sqref="Q5:Q28 S5:S28 U5:U28">
      <formula1>0</formula1>
      <formula2>2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0"/>
  <sheetViews>
    <sheetView showGridLines="0" workbookViewId="0">
      <selection activeCell="A1" sqref="A1:P1"/>
    </sheetView>
  </sheetViews>
  <sheetFormatPr defaultColWidth="9" defaultRowHeight="15"/>
  <cols>
    <col min="1" max="1" width="18" customWidth="1"/>
    <col min="2" max="7" width="12" customWidth="1"/>
    <col min="8" max="8" width="4" customWidth="1"/>
    <col min="9" max="9" width="15" customWidth="1"/>
    <col min="10" max="10" width="30" customWidth="1"/>
    <col min="11" max="16" width="11" customWidth="1"/>
  </cols>
  <sheetData>
    <row r="1" ht="24" customHeight="1" spans="1:16">
      <c r="A1" s="1" t="s">
        <v>285</v>
      </c>
      <c r="B1" s="1"/>
      <c r="C1" s="1"/>
      <c r="D1" s="1"/>
      <c r="E1" s="1"/>
      <c r="F1" s="1"/>
      <c r="G1" s="1"/>
      <c r="H1" s="1"/>
      <c r="I1" s="7" t="s">
        <v>286</v>
      </c>
      <c r="J1" s="7" t="s">
        <v>286</v>
      </c>
      <c r="K1" s="7" t="s">
        <v>286</v>
      </c>
      <c r="L1" s="7" t="s">
        <v>286</v>
      </c>
      <c r="M1" s="7" t="s">
        <v>286</v>
      </c>
      <c r="N1" s="7" t="s">
        <v>286</v>
      </c>
      <c r="O1" s="7" t="s">
        <v>286</v>
      </c>
      <c r="P1" s="7" t="s">
        <v>286</v>
      </c>
    </row>
    <row r="2" ht="24" customHeight="1" spans="1:16">
      <c r="A2" s="2"/>
      <c r="B2" s="2"/>
      <c r="C2" s="2"/>
      <c r="D2" s="2"/>
      <c r="E2" s="2"/>
      <c r="F2" s="2"/>
      <c r="G2" s="2"/>
      <c r="H2" s="2"/>
      <c r="I2" s="8" t="s">
        <v>287</v>
      </c>
      <c r="J2" s="8" t="s">
        <v>287</v>
      </c>
      <c r="K2" s="8" t="s">
        <v>287</v>
      </c>
      <c r="L2" s="8" t="s">
        <v>287</v>
      </c>
      <c r="M2" s="8" t="s">
        <v>287</v>
      </c>
      <c r="N2" s="8" t="s">
        <v>287</v>
      </c>
      <c r="O2" s="8" t="s">
        <v>287</v>
      </c>
      <c r="P2" s="8" t="s">
        <v>287</v>
      </c>
    </row>
    <row r="3" ht="24" customHeight="1" spans="1:16">
      <c r="A3" s="9" t="s">
        <v>288</v>
      </c>
      <c r="B3" s="4" t="s">
        <v>289</v>
      </c>
      <c r="C3" s="2"/>
      <c r="D3" s="2"/>
      <c r="E3" s="2"/>
      <c r="F3" s="2"/>
      <c r="G3" s="2"/>
      <c r="H3" s="2"/>
      <c r="I3" s="10" t="s">
        <v>290</v>
      </c>
      <c r="J3" s="10" t="s">
        <v>290</v>
      </c>
      <c r="K3" s="10" t="s">
        <v>290</v>
      </c>
      <c r="L3" s="10" t="s">
        <v>290</v>
      </c>
      <c r="M3" s="10" t="s">
        <v>290</v>
      </c>
      <c r="N3" s="10" t="s">
        <v>290</v>
      </c>
      <c r="O3" s="10" t="s">
        <v>290</v>
      </c>
      <c r="P3" s="10" t="s">
        <v>290</v>
      </c>
    </row>
    <row r="4" ht="24" customHeight="1" spans="1:16">
      <c r="A4" s="9" t="s">
        <v>291</v>
      </c>
      <c r="B4" s="4">
        <f>COUNTA(SprintBacklog模板!$A$5:$A$36)</f>
        <v>32</v>
      </c>
      <c r="C4" s="2"/>
      <c r="D4" s="2"/>
      <c r="E4" s="2"/>
      <c r="F4" s="2"/>
      <c r="G4" s="2"/>
      <c r="H4" s="2"/>
      <c r="I4" s="11" t="s">
        <v>292</v>
      </c>
      <c r="J4" s="11" t="s">
        <v>292</v>
      </c>
      <c r="K4" s="11" t="s">
        <v>292</v>
      </c>
      <c r="L4" s="11" t="s">
        <v>292</v>
      </c>
      <c r="M4" s="11" t="s">
        <v>292</v>
      </c>
      <c r="N4" s="11" t="s">
        <v>292</v>
      </c>
      <c r="O4" s="11" t="s">
        <v>292</v>
      </c>
      <c r="P4" s="11" t="s">
        <v>292</v>
      </c>
    </row>
    <row r="5" ht="24" customHeight="1" spans="1:16">
      <c r="A5" s="9" t="s">
        <v>293</v>
      </c>
      <c r="B5" s="4">
        <v>48</v>
      </c>
      <c r="C5" s="2"/>
      <c r="D5" s="2"/>
      <c r="E5" s="2"/>
      <c r="F5" s="2"/>
      <c r="G5" s="2"/>
      <c r="H5" s="2"/>
    </row>
    <row r="6" ht="24" customHeight="1" spans="1:16">
      <c r="A6" s="9" t="s">
        <v>294</v>
      </c>
      <c r="B6" s="4">
        <v>12</v>
      </c>
      <c r="C6" s="2"/>
      <c r="D6" s="2"/>
      <c r="E6" s="2"/>
      <c r="F6" s="2"/>
      <c r="G6" s="2"/>
      <c r="H6" s="2"/>
    </row>
    <row r="7" ht="24" customHeight="1" spans="1:16">
      <c r="A7" s="9" t="s">
        <v>295</v>
      </c>
      <c r="B7" s="4">
        <f>B5+B6</f>
        <v>60</v>
      </c>
      <c r="C7" s="2"/>
      <c r="D7" s="2"/>
      <c r="E7" s="2"/>
      <c r="F7" s="2"/>
      <c r="G7" s="2"/>
      <c r="H7" s="2"/>
    </row>
    <row r="8" ht="24" customHeight="1" spans="1:16">
      <c r="A8" s="9" t="s">
        <v>296</v>
      </c>
      <c r="B8" s="4">
        <v>25</v>
      </c>
      <c r="C8" s="2"/>
      <c r="D8" s="2"/>
      <c r="E8" s="2"/>
      <c r="F8" s="2"/>
      <c r="G8" s="2"/>
      <c r="H8" s="2"/>
    </row>
    <row r="9" ht="24" customHeight="1" spans="1:16">
      <c r="A9" s="9" t="s">
        <v>297</v>
      </c>
      <c r="B9" s="4">
        <f>B7-B8</f>
        <v>35</v>
      </c>
      <c r="C9" s="2"/>
      <c r="D9" s="2"/>
      <c r="E9" s="2"/>
      <c r="F9" s="2"/>
      <c r="G9" s="2"/>
      <c r="H9" s="2"/>
    </row>
    <row r="10" ht="24" customHeight="1" spans="1:16">
      <c r="A10" s="9" t="s">
        <v>298</v>
      </c>
      <c r="B10" s="4">
        <f>COUNTA(PBI追溯!$A$6:$A$17)</f>
        <v>12</v>
      </c>
      <c r="C10" s="2"/>
      <c r="D10" s="2"/>
      <c r="E10" s="2"/>
      <c r="F10" s="2"/>
      <c r="G10" s="2"/>
      <c r="H10" s="2"/>
    </row>
    <row r="11" ht="24" customHeight="1" spans="1:16">
      <c r="A11" s="2"/>
      <c r="B11" s="2"/>
      <c r="C11" s="2"/>
      <c r="D11" s="2"/>
      <c r="E11" s="2"/>
      <c r="F11" s="2"/>
      <c r="G11" s="2"/>
      <c r="H11" s="2"/>
    </row>
    <row r="12" ht="24" customHeight="1" spans="1:16">
      <c r="A12" s="2"/>
      <c r="B12" s="2"/>
      <c r="C12" s="2"/>
      <c r="D12" s="2"/>
      <c r="E12" s="2"/>
      <c r="F12" s="2"/>
      <c r="G12" s="2"/>
      <c r="H12" s="2"/>
    </row>
    <row r="13" ht="24" customHeight="1" spans="1:16">
      <c r="A13" s="3" t="s">
        <v>38</v>
      </c>
      <c r="B13" s="3" t="s">
        <v>299</v>
      </c>
      <c r="C13" s="3" t="s">
        <v>300</v>
      </c>
      <c r="D13" s="3" t="s">
        <v>301</v>
      </c>
      <c r="E13" s="3" t="s">
        <v>302</v>
      </c>
      <c r="F13" s="3" t="s">
        <v>303</v>
      </c>
      <c r="G13" s="3" t="s">
        <v>304</v>
      </c>
      <c r="H13" s="2"/>
      <c r="I13" s="12" t="s">
        <v>305</v>
      </c>
      <c r="J13" s="12" t="s">
        <v>306</v>
      </c>
    </row>
    <row r="14" ht="24" customHeight="1" spans="1:16">
      <c r="A14" s="4" t="s">
        <v>58</v>
      </c>
      <c r="B14" s="4">
        <f>COUNTIF(SprintBacklog模板!$K$5:$K$36,A14)</f>
        <v>5</v>
      </c>
      <c r="C14" s="4">
        <f>SUMIF(SprintBacklog模板!$K$5:$K$36,A14,SprintBacklog模板!$H$5:$H$36)</f>
        <v>9</v>
      </c>
      <c r="D14" s="4">
        <f>SUMIFS(SprintBacklog模板!$H$5:$H$36,SprintBacklog模板!$K$5:$K$36,A14,SprintBacklog模板!$P$5:$P$36,0)+0</f>
        <v>5</v>
      </c>
      <c r="E14" s="4">
        <f>C14-D14</f>
        <v>4</v>
      </c>
      <c r="F14" s="4">
        <f>SUMIFS(SprintBacklog模板!$H$5:$H$36,SprintBacklog模板!$K$5:$K$36,A14,SprintBacklog模板!$I$5:$I$36,"Day1")</f>
        <v>4</v>
      </c>
      <c r="G14" s="4">
        <f>SUMIFS(SprintBacklog模板!$H$5:$H$36,SprintBacklog模板!$K$5:$K$36,A14,SprintBacklog模板!$I$5:$I$36,"Day2")</f>
        <v>5</v>
      </c>
      <c r="H14" s="2"/>
      <c r="I14" s="6" t="s">
        <v>307</v>
      </c>
      <c r="J14" s="6" t="s">
        <v>308</v>
      </c>
    </row>
    <row r="15" ht="24" customHeight="1" spans="1:16">
      <c r="A15" s="4" t="s">
        <v>125</v>
      </c>
      <c r="B15" s="4">
        <f>COUNTIF(SprintBacklog模板!$K$5:$K$36,A15)</f>
        <v>9</v>
      </c>
      <c r="C15" s="4">
        <f>SUMIF(SprintBacklog模板!$K$5:$K$36,A15,SprintBacklog模板!$H$5:$H$36)</f>
        <v>11</v>
      </c>
      <c r="D15" s="4">
        <f>SUMIFS(SprintBacklog模板!$H$5:$H$36,SprintBacklog模板!$K$5:$K$36,A15,SprintBacklog模板!$P$5:$P$36,0)+0</f>
        <v>5</v>
      </c>
      <c r="E15" s="4">
        <f>C15-D15</f>
        <v>6</v>
      </c>
      <c r="F15" s="4">
        <f>SUMIFS(SprintBacklog模板!$H$5:$H$36,SprintBacklog模板!$K$5:$K$36,A15,SprintBacklog模板!$I$5:$I$36,"Day1")</f>
        <v>6</v>
      </c>
      <c r="G15" s="4">
        <f>SUMIFS(SprintBacklog模板!$H$5:$H$36,SprintBacklog模板!$K$5:$K$36,A15,SprintBacklog模板!$I$5:$I$36,"Day2")</f>
        <v>5</v>
      </c>
      <c r="H15" s="2"/>
      <c r="I15" s="6" t="s">
        <v>309</v>
      </c>
      <c r="J15" s="6" t="s">
        <v>310</v>
      </c>
    </row>
    <row r="16" ht="24" customHeight="1" spans="1:16">
      <c r="A16" s="4" t="s">
        <v>98</v>
      </c>
      <c r="B16" s="4">
        <f>COUNTIF(SprintBacklog模板!$K$5:$K$36,A16)</f>
        <v>10</v>
      </c>
      <c r="C16" s="4">
        <f>SUMIF(SprintBacklog模板!$K$5:$K$36,A16,SprintBacklog模板!$H$5:$H$36)</f>
        <v>8</v>
      </c>
      <c r="D16" s="4">
        <f>SUMIFS(SprintBacklog模板!$H$5:$H$36,SprintBacklog模板!$K$5:$K$36,A16,SprintBacklog模板!$P$5:$P$36,0)+0</f>
        <v>3</v>
      </c>
      <c r="E16" s="4">
        <f>C16-D16</f>
        <v>5</v>
      </c>
      <c r="F16" s="4">
        <f>SUMIFS(SprintBacklog模板!$H$5:$H$36,SprintBacklog模板!$K$5:$K$36,A16,SprintBacklog模板!$I$5:$I$36,"Day1")</f>
        <v>5</v>
      </c>
      <c r="G16" s="4">
        <f>SUMIFS(SprintBacklog模板!$H$5:$H$36,SprintBacklog模板!$K$5:$K$36,A16,SprintBacklog模板!$I$5:$I$36,"Day2")</f>
        <v>3</v>
      </c>
      <c r="H16" s="2"/>
      <c r="I16" s="6" t="s">
        <v>311</v>
      </c>
      <c r="J16" s="6" t="s">
        <v>312</v>
      </c>
    </row>
    <row r="17" ht="24" customHeight="1" spans="1:10">
      <c r="A17" s="4" t="s">
        <v>112</v>
      </c>
      <c r="B17" s="4">
        <f>COUNTIF(SprintBacklog模板!$K$5:$K$36,A17)</f>
        <v>8</v>
      </c>
      <c r="C17" s="4">
        <f>SUMIF(SprintBacklog模板!$K$5:$K$36,A17,SprintBacklog模板!$H$5:$H$36)</f>
        <v>7</v>
      </c>
      <c r="D17" s="4">
        <f>SUMIFS(SprintBacklog模板!$H$5:$H$36,SprintBacklog模板!$K$5:$K$36,A17,SprintBacklog模板!$P$5:$P$36,0)+0</f>
        <v>7</v>
      </c>
      <c r="E17" s="4">
        <f>C17-D17</f>
        <v>0</v>
      </c>
      <c r="F17" s="4">
        <f>SUMIFS(SprintBacklog模板!$H$5:$H$36,SprintBacklog模板!$K$5:$K$36,A17,SprintBacklog模板!$I$5:$I$36,"Day1")</f>
        <v>0</v>
      </c>
      <c r="G17" s="4">
        <f>SUMIFS(SprintBacklog模板!$H$5:$H$36,SprintBacklog模板!$K$5:$K$36,A17,SprintBacklog模板!$I$5:$I$36,"Day2")</f>
        <v>2</v>
      </c>
      <c r="H17" s="2"/>
      <c r="I17" s="6" t="s">
        <v>311</v>
      </c>
      <c r="J17" s="6" t="s">
        <v>313</v>
      </c>
    </row>
    <row r="18" ht="24" customHeight="1" spans="1:10">
      <c r="A18" s="2"/>
      <c r="B18" s="2">
        <f t="shared" ref="B18:G18" si="0">SUM(B14:B17)</f>
        <v>32</v>
      </c>
      <c r="C18" s="2">
        <f t="shared" si="0"/>
        <v>35</v>
      </c>
      <c r="D18" s="2">
        <f t="shared" si="0"/>
        <v>20</v>
      </c>
      <c r="E18" s="2">
        <f t="shared" si="0"/>
        <v>15</v>
      </c>
      <c r="F18" s="2">
        <f t="shared" si="0"/>
        <v>15</v>
      </c>
      <c r="G18" s="2">
        <f t="shared" si="0"/>
        <v>15</v>
      </c>
      <c r="H18" s="2"/>
      <c r="I18" s="13" t="s">
        <v>314</v>
      </c>
      <c r="J18" s="13" t="s">
        <v>315</v>
      </c>
    </row>
    <row r="19" ht="24" customHeight="1" spans="1:10">
      <c r="A19" s="2"/>
      <c r="B19" s="2"/>
      <c r="C19" s="2"/>
      <c r="D19" s="2"/>
      <c r="E19" s="2"/>
      <c r="F19" s="2"/>
      <c r="G19" s="2"/>
      <c r="H19" s="2"/>
    </row>
    <row r="20" ht="24" customHeight="1" spans="1:10">
      <c r="A20" s="2"/>
      <c r="B20" s="2"/>
      <c r="C20" s="2"/>
      <c r="D20" s="2"/>
      <c r="E20" s="2"/>
      <c r="F20" s="2"/>
      <c r="G20" s="2"/>
      <c r="H20" s="2"/>
    </row>
    <row r="21" ht="24" customHeight="1" spans="1:10">
      <c r="A21" s="3" t="s">
        <v>316</v>
      </c>
      <c r="B21" s="3" t="s">
        <v>317</v>
      </c>
      <c r="C21" s="3" t="s">
        <v>318</v>
      </c>
      <c r="D21" s="2"/>
      <c r="E21" s="2"/>
      <c r="F21" s="2"/>
      <c r="G21" s="2"/>
      <c r="H21" s="2"/>
    </row>
    <row r="22" ht="24" customHeight="1" spans="1:10">
      <c r="A22" s="4" t="s">
        <v>319</v>
      </c>
      <c r="B22" s="4">
        <v>60</v>
      </c>
      <c r="C22" s="4">
        <v>60</v>
      </c>
      <c r="D22" s="2"/>
      <c r="E22" s="2"/>
      <c r="F22" s="2"/>
      <c r="G22" s="2"/>
      <c r="H22" s="2"/>
    </row>
    <row r="23" ht="24" customHeight="1" spans="1:10">
      <c r="A23" s="4" t="s">
        <v>320</v>
      </c>
      <c r="B23" s="4">
        <f>MAX(0,B22-SUM(SprintBacklog模板!$P$5:$P$36))</f>
        <v>45</v>
      </c>
      <c r="C23" s="4">
        <f>MAX(0,C22-SUM(SprintBacklog模板!$Q$5:$Q$36))</f>
        <v>56</v>
      </c>
      <c r="D23" s="2"/>
      <c r="E23" s="2"/>
      <c r="F23" s="2"/>
      <c r="G23" s="2"/>
      <c r="H23" s="2"/>
    </row>
    <row r="24" ht="24" customHeight="1" spans="1:10">
      <c r="A24" s="4" t="s">
        <v>321</v>
      </c>
      <c r="B24" s="4">
        <f>MAX(0,B23-SUM(SprintBacklog模板!$R$5:$R$36))</f>
        <v>30</v>
      </c>
      <c r="C24" s="4">
        <f>MAX(0,C23-SUM(SprintBacklog模板!$S$5:$S$36))</f>
        <v>55</v>
      </c>
      <c r="D24" s="2"/>
      <c r="E24" s="2"/>
      <c r="F24" s="2"/>
      <c r="G24" s="2"/>
      <c r="H24" s="2"/>
    </row>
    <row r="25" ht="24" customHeight="1" spans="1:10">
      <c r="A25" s="4" t="s">
        <v>322</v>
      </c>
      <c r="B25" s="4">
        <f>MAX(0,B24-SUM(SprintBacklog模板!$T$5:$T$36))</f>
        <v>25</v>
      </c>
      <c r="C25" s="4">
        <f>MAX(0,C24-SUM(SprintBacklog模板!$U$5:$U$36))</f>
        <v>55</v>
      </c>
      <c r="D25" s="2"/>
      <c r="E25" s="2"/>
      <c r="F25" s="2"/>
      <c r="G25" s="2"/>
      <c r="H25" s="2"/>
    </row>
    <row r="26" ht="24" customHeight="1" spans="1:10">
      <c r="A26" s="2"/>
      <c r="B26" s="2"/>
      <c r="C26" s="2"/>
      <c r="D26" s="2"/>
      <c r="E26" s="2"/>
      <c r="F26" s="2"/>
      <c r="G26" s="2"/>
      <c r="H26" s="2"/>
    </row>
    <row r="27" ht="24" customHeight="1" spans="1:10">
      <c r="A27" s="2"/>
      <c r="B27" s="2"/>
      <c r="C27" s="2"/>
      <c r="D27" s="2"/>
      <c r="E27" s="2"/>
      <c r="F27" s="2"/>
      <c r="G27" s="2"/>
      <c r="H27" s="2"/>
    </row>
    <row r="28" ht="24" customHeight="1" spans="1:10">
      <c r="A28" s="2"/>
      <c r="B28" s="2"/>
      <c r="C28" s="2"/>
      <c r="D28" s="2"/>
      <c r="E28" s="2"/>
      <c r="F28" s="2"/>
      <c r="G28" s="2"/>
      <c r="H28" s="2"/>
    </row>
    <row r="29" ht="24" customHeight="1" spans="1:10">
      <c r="A29" s="2"/>
      <c r="B29" s="2"/>
      <c r="C29" s="2"/>
      <c r="D29" s="2"/>
      <c r="E29" s="2"/>
      <c r="F29" s="2"/>
      <c r="G29" s="2"/>
      <c r="H29" s="2"/>
    </row>
    <row r="30" ht="24" customHeight="1" spans="1:10">
      <c r="A30" s="2"/>
      <c r="B30" s="2"/>
      <c r="C30" s="2"/>
      <c r="D30" s="2"/>
      <c r="E30" s="2"/>
      <c r="F30" s="2"/>
      <c r="G30" s="2"/>
      <c r="H30" s="2"/>
    </row>
    <row r="31" ht="24" customHeight="1" spans="1:10">
      <c r="A31" s="2"/>
      <c r="B31" s="2"/>
      <c r="C31" s="2"/>
      <c r="D31" s="2"/>
      <c r="E31" s="2"/>
      <c r="F31" s="2"/>
      <c r="G31" s="2"/>
      <c r="H31" s="2"/>
    </row>
    <row r="32" ht="24" customHeight="1" spans="1:10">
      <c r="A32" s="2"/>
      <c r="B32" s="2"/>
      <c r="C32" s="2"/>
      <c r="D32" s="2"/>
      <c r="E32" s="2"/>
      <c r="F32" s="2"/>
      <c r="G32" s="2"/>
      <c r="H32" s="2"/>
    </row>
    <row r="33" ht="24" customHeight="1" spans="1:16">
      <c r="A33" s="2"/>
      <c r="B33" s="2"/>
      <c r="C33" s="2"/>
      <c r="D33" s="2"/>
      <c r="E33" s="2"/>
      <c r="F33" s="2"/>
      <c r="G33" s="2"/>
      <c r="H33" s="2"/>
    </row>
    <row r="34" ht="24" customHeight="1" spans="1:16">
      <c r="A34" s="2"/>
      <c r="B34" s="2"/>
      <c r="C34" s="2"/>
      <c r="D34" s="2"/>
      <c r="E34" s="2"/>
      <c r="F34" s="2"/>
      <c r="G34" s="2"/>
      <c r="H34" s="2"/>
    </row>
    <row r="35" ht="24" customHeight="1" spans="1:16">
      <c r="A35" s="2"/>
      <c r="B35" s="2"/>
      <c r="C35" s="2"/>
      <c r="D35" s="2"/>
      <c r="E35" s="2"/>
      <c r="F35" s="2"/>
      <c r="G35" s="2"/>
      <c r="H35" s="2"/>
    </row>
    <row r="36" ht="24" customHeight="1" spans="1:16">
      <c r="A36" s="2"/>
      <c r="B36" s="2"/>
      <c r="C36" s="2"/>
      <c r="D36" s="2"/>
      <c r="E36" s="2"/>
      <c r="F36" s="2"/>
      <c r="G36" s="2"/>
      <c r="H36" s="2"/>
      <c r="I36" s="14" t="s">
        <v>323</v>
      </c>
      <c r="J36" s="14" t="s">
        <v>323</v>
      </c>
      <c r="K36" s="14" t="s">
        <v>323</v>
      </c>
      <c r="L36" s="14" t="s">
        <v>323</v>
      </c>
      <c r="M36" s="14" t="s">
        <v>323</v>
      </c>
      <c r="N36" s="14" t="s">
        <v>323</v>
      </c>
      <c r="O36" s="14" t="s">
        <v>323</v>
      </c>
      <c r="P36" s="15" t="s">
        <v>323</v>
      </c>
    </row>
    <row r="37" ht="30" customHeight="1" spans="1:16">
      <c r="A37" s="2"/>
      <c r="B37" s="2"/>
      <c r="C37" s="2"/>
      <c r="D37" s="2"/>
      <c r="E37" s="2"/>
      <c r="F37" s="2"/>
      <c r="G37" s="2"/>
      <c r="H37" s="2"/>
      <c r="I37" s="16" t="s">
        <v>323</v>
      </c>
      <c r="J37" s="16" t="s">
        <v>323</v>
      </c>
      <c r="K37" s="16" t="s">
        <v>323</v>
      </c>
      <c r="L37" s="16" t="s">
        <v>323</v>
      </c>
      <c r="M37" s="16" t="s">
        <v>323</v>
      </c>
      <c r="N37" s="16" t="s">
        <v>323</v>
      </c>
      <c r="O37" s="16" t="s">
        <v>323</v>
      </c>
      <c r="P37" s="17" t="s">
        <v>323</v>
      </c>
    </row>
    <row r="38" ht="14.4" customHeight="1" spans="1:16">
      <c r="A38" s="2"/>
      <c r="B38" s="2"/>
      <c r="C38" s="2"/>
      <c r="D38" s="2"/>
      <c r="E38" s="2"/>
      <c r="F38" s="2"/>
      <c r="G38" s="2"/>
      <c r="H38" s="2"/>
    </row>
    <row r="39" ht="14.4" customHeight="1" spans="1:16">
      <c r="A39" s="2"/>
      <c r="B39" s="2"/>
      <c r="C39" s="2"/>
      <c r="D39" s="2"/>
      <c r="E39" s="2"/>
      <c r="F39" s="2"/>
      <c r="G39" s="2"/>
      <c r="H39" s="2"/>
    </row>
    <row r="40" ht="14.4" customHeight="1" spans="1:16">
      <c r="A40" s="2"/>
      <c r="B40" s="2"/>
      <c r="C40" s="2"/>
      <c r="D40" s="2"/>
      <c r="E40" s="2"/>
      <c r="F40" s="2"/>
      <c r="G40" s="2"/>
      <c r="H40" s="2"/>
    </row>
  </sheetData>
  <mergeCells count="6">
    <mergeCell ref="A1:P1"/>
    <mergeCell ref="A1:H1"/>
    <mergeCell ref="A2:P2"/>
    <mergeCell ref="A3:P3"/>
    <mergeCell ref="C4:P4"/>
    <mergeCell ref="A36:P37"/>
  </mergeCells>
  <conditionalFormatting sqref="G22:G25">
    <cfRule type="containsText" dxfId="0" priority="3" operator="between" text="正常">
      <formula>NOT(ISERROR(SEARCH("正常",G22)))</formula>
    </cfRule>
    <cfRule type="containsText" dxfId="1" priority="4" operator="between" text="偏离">
      <formula>NOT(ISERROR(SEARCH("偏离",G22)))</formula>
    </cfRule>
  </conditionalFormatting>
  <conditionalFormatting sqref="H14:H18">
    <cfRule type="containsText" dxfId="0" priority="1" operator="between" text="平衡">
      <formula>NOT(ISERROR(SEARCH("平衡",H14)))</formula>
    </cfRule>
    <cfRule type="containsText" dxfId="1" priority="2" operator="between" text="需调整">
      <formula>NOT(ISERROR(SEARCH("需调整",H14)))</formula>
    </cfRule>
  </conditionalFormatting>
  <dataValidations count="1">
    <dataValidation type="list" sqref="B4">
      <formula1>"计划基线,执行中,已结束"</formula1>
    </dataValidation>
  </dataValidation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showGridLines="0" workbookViewId="0">
      <selection activeCell="A1" sqref="A1:J1"/>
    </sheetView>
  </sheetViews>
  <sheetFormatPr defaultColWidth="9" defaultRowHeight="15"/>
  <cols>
    <col min="1" max="1" width="12" customWidth="1"/>
    <col min="2" max="2" width="22" customWidth="1"/>
    <col min="3" max="3" width="24" customWidth="1"/>
    <col min="4" max="4" width="48" customWidth="1"/>
    <col min="5" max="6" width="8" customWidth="1"/>
    <col min="7" max="7" width="10" customWidth="1"/>
    <col min="8" max="8" width="12" customWidth="1"/>
    <col min="9" max="9" width="16" customWidth="1"/>
    <col min="10" max="10" width="52" customWidth="1"/>
  </cols>
  <sheetData>
    <row r="1" ht="34" customHeight="1" spans="1:10">
      <c r="A1" s="1" t="s">
        <v>324</v>
      </c>
      <c r="B1" s="1"/>
      <c r="C1" s="1"/>
      <c r="D1" s="1"/>
      <c r="E1" s="1"/>
      <c r="F1" s="1"/>
      <c r="G1" s="1"/>
      <c r="H1" s="1"/>
      <c r="I1" s="1"/>
      <c r="J1" s="1"/>
    </row>
    <row r="2" ht="3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34" customHeight="1" spans="1:10">
      <c r="A3" s="2"/>
      <c r="B3" s="2"/>
      <c r="C3" s="2"/>
      <c r="D3" s="2"/>
      <c r="E3" s="2"/>
      <c r="F3" s="2"/>
      <c r="G3" s="2"/>
      <c r="H3" s="2"/>
      <c r="I3" s="2"/>
      <c r="J3" s="2"/>
    </row>
    <row r="4" ht="34" customHeight="1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ht="34" customHeight="1" spans="1:10">
      <c r="A5" s="3" t="s">
        <v>29</v>
      </c>
      <c r="B5" s="3" t="s">
        <v>325</v>
      </c>
      <c r="C5" s="3" t="s">
        <v>326</v>
      </c>
      <c r="D5" s="3" t="s">
        <v>327</v>
      </c>
      <c r="E5" s="3" t="s">
        <v>328</v>
      </c>
      <c r="F5" s="3" t="s">
        <v>299</v>
      </c>
      <c r="G5" s="3" t="s">
        <v>300</v>
      </c>
      <c r="H5" s="3" t="s">
        <v>329</v>
      </c>
      <c r="I5" s="3" t="s">
        <v>330</v>
      </c>
      <c r="J5" s="3" t="s">
        <v>331</v>
      </c>
    </row>
    <row r="6" ht="34" customHeight="1" spans="1:10">
      <c r="A6" s="4" t="s">
        <v>51</v>
      </c>
      <c r="B6" s="4" t="s">
        <v>332</v>
      </c>
      <c r="C6" s="4" t="s">
        <v>333</v>
      </c>
      <c r="D6" s="4" t="s">
        <v>334</v>
      </c>
      <c r="E6" s="4">
        <v>5</v>
      </c>
      <c r="F6" s="4">
        <f>COUNTIF(SprintBacklog模板!$B$5:$B$36,A6)</f>
        <v>4</v>
      </c>
      <c r="G6" s="4">
        <f>SUMIF(SprintBacklog模板!$B$5:$B$36,A6,SprintBacklog模板!$H$5:$H$36)</f>
        <v>6</v>
      </c>
      <c r="H6" s="4">
        <f>COUNTIFS(SprintBacklog模板!$B$5:$B$36,A6,SprintBacklog模板!$M$5:$M$36,"已完成")+COUNTIFS(SprintBacklog模板!$B$5:$B$36,A6,SprintBacklog模板!$M$5:$M$36,"基本完成")</f>
        <v>1</v>
      </c>
      <c r="I6" s="4" t="str">
        <f t="shared" ref="I6:I17" si="0">IF(F6=0,"缺口",IF(H6=F6,"已覆盖并完成",IF(H6&gt;0,"部分覆盖","已覆盖待执行")))</f>
        <v>部分覆盖</v>
      </c>
      <c r="J6" s="4" t="str">
        <f>_xlfn.TEXTJOIN("；",TRUE,_xlfn._xlws.FILTER(SprintBacklog模板!$O$5:$O$36,SprintBacklog模板!$B$5:$B$36=A6,"待补证据"))</f>
        <v>app/domain/trip_draft.py；backend/tests/test_trip_draft_llm_integration.py；app/application/trip_draft_service.py；待补调用计数验收；app/infrastructure/collaboration_store.py；backend/tests/test_collaboration_store.py；app/infrastructure/bailian.py；doc/ai_usage.md</v>
      </c>
    </row>
    <row r="7" ht="34" customHeight="1" spans="1:10">
      <c r="A7" s="4" t="s">
        <v>93</v>
      </c>
      <c r="B7" s="4" t="s">
        <v>335</v>
      </c>
      <c r="C7" s="4" t="s">
        <v>336</v>
      </c>
      <c r="D7" s="4" t="s">
        <v>337</v>
      </c>
      <c r="E7" s="4">
        <v>5</v>
      </c>
      <c r="F7" s="4">
        <f>COUNTIF(SprintBacklog模板!$B$5:$B$36,A7)</f>
        <v>5</v>
      </c>
      <c r="G7" s="4">
        <f>SUMIF(SprintBacklog模板!$B$5:$B$36,A7,SprintBacklog模板!$H$5:$H$36)</f>
        <v>5</v>
      </c>
      <c r="H7" s="4">
        <f>COUNTIFS(SprintBacklog模板!$B$5:$B$36,A7,SprintBacklog模板!$M$5:$M$36,"已完成")+COUNTIFS(SprintBacklog模板!$B$5:$B$36,A7,SprintBacklog模板!$M$5:$M$36,"基本完成")</f>
        <v>4</v>
      </c>
      <c r="I7" s="4" t="str">
        <f t="shared" si="0"/>
        <v>部分覆盖</v>
      </c>
      <c r="J7" s="4" t="str">
        <f>_xlfn.TEXTJOIN("；",TRUE,_xlfn._xlws.FILTER(SprintBacklog模板!$O$5:$O$36,SprintBacklog模板!$B$5:$B$36=A7,"待补证据"))</f>
        <v>app/application/recommendation_service.py；backend/tests/test_s2_t009_recommendation_orchestration.py；app/services/fairness.py；backend/tests/test_s2_t007_fairness.py；app/infrastructure/openai_compatible_llm.py；backend/tests/test_s2_t008_candidate_selection_gateway.py；app/api/recommendation_routes.py；backend/tests/test_s2_t009_recommendation_orchestration.py；frontend/src/pages/ConversationPlannerPage.tsx；RecommendationPage.tsx；待公网验收</v>
      </c>
    </row>
    <row r="8" ht="34" customHeight="1" spans="1:10">
      <c r="A8" s="4" t="s">
        <v>144</v>
      </c>
      <c r="B8" s="4" t="s">
        <v>338</v>
      </c>
      <c r="C8" s="4" t="s">
        <v>339</v>
      </c>
      <c r="D8" s="4" t="s">
        <v>340</v>
      </c>
      <c r="E8" s="4">
        <v>5</v>
      </c>
      <c r="F8" s="4">
        <f>COUNTIF(SprintBacklog模板!$B$5:$B$36,A8)</f>
        <v>4</v>
      </c>
      <c r="G8" s="4">
        <f>SUMIF(SprintBacklog模板!$B$5:$B$36,A8,SprintBacklog模板!$H$5:$H$36)</f>
        <v>0</v>
      </c>
      <c r="H8" s="4">
        <f>COUNTIFS(SprintBacklog模板!$B$5:$B$36,A8,SprintBacklog模板!$M$5:$M$36,"已完成")+COUNTIFS(SprintBacklog模板!$B$5:$B$36,A8,SprintBacklog模板!$M$5:$M$36,"基本完成")</f>
        <v>4</v>
      </c>
      <c r="I8" s="4" t="str">
        <f t="shared" si="0"/>
        <v>已覆盖并完成</v>
      </c>
      <c r="J8" s="4" t="str">
        <f>_xlfn.TEXTJOIN("；",TRUE,_xlfn._xlws.FILTER(SprintBacklog模板!$O$5:$O$36,SprintBacklog模板!$B$5:$B$36=A8,"待补证据"))</f>
        <v>app/api/arrival_evidence_routes.py；backend/tests/test_s2_t013_arrival_evidence.py；app/application/arrival_decision_service.py；backend/tests/test_s2_t014_arrival_decision.py；frontend/src/pages/WorkspacePage.tsx；待 375/768 录屏；app/api/arrival_execution_routes.py；backend/tests/test_s2_t016_arrival_execution_event.py</v>
      </c>
    </row>
    <row r="9" ht="34" customHeight="1" spans="1:10">
      <c r="A9" s="4" t="s">
        <v>130</v>
      </c>
      <c r="B9" s="4" t="s">
        <v>341</v>
      </c>
      <c r="C9" s="4" t="s">
        <v>342</v>
      </c>
      <c r="D9" s="4" t="s">
        <v>343</v>
      </c>
      <c r="E9" s="4">
        <v>5</v>
      </c>
      <c r="F9" s="4">
        <f>COUNTIF(SprintBacklog模板!$B$5:$B$36,A9)</f>
        <v>2</v>
      </c>
      <c r="G9" s="4">
        <f>SUMIF(SprintBacklog模板!$B$5:$B$36,A9,SprintBacklog模板!$H$5:$H$36)</f>
        <v>1</v>
      </c>
      <c r="H9" s="4">
        <f>COUNTIFS(SprintBacklog模板!$B$5:$B$36,A9,SprintBacklog模板!$M$5:$M$36,"已完成")+COUNTIFS(SprintBacklog模板!$B$5:$B$36,A9,SprintBacklog模板!$M$5:$M$36,"基本完成")</f>
        <v>1</v>
      </c>
      <c r="I9" s="4" t="str">
        <f t="shared" si="0"/>
        <v>部分覆盖</v>
      </c>
      <c r="J9" s="4" t="str">
        <f>_xlfn.TEXTJOIN("；",TRUE,_xlfn._xlws.FILTER(SprintBacklog模板!$O$5:$O$36,SprintBacklog模板!$B$5:$B$36=A9,"待补证据"))</f>
        <v>frontend/src/components/TaskPhotoCard.tsx；frontend/src/components/TaskPhotoCard.tsx；app/api/media_routes.py；待 8 张验收</v>
      </c>
    </row>
    <row r="10" ht="34" customHeight="1" spans="1:10">
      <c r="A10" s="4" t="s">
        <v>85</v>
      </c>
      <c r="B10" s="4" t="s">
        <v>344</v>
      </c>
      <c r="C10" s="4" t="s">
        <v>84</v>
      </c>
      <c r="D10" s="4" t="s">
        <v>345</v>
      </c>
      <c r="E10" s="4">
        <v>3</v>
      </c>
      <c r="F10" s="4">
        <f>COUNTIF(SprintBacklog模板!$B$5:$B$36,A10)</f>
        <v>1</v>
      </c>
      <c r="G10" s="4">
        <f>SUMIF(SprintBacklog模板!$B$5:$B$36,A10,SprintBacklog模板!$H$5:$H$36)</f>
        <v>3</v>
      </c>
      <c r="H10" s="4">
        <f>COUNTIFS(SprintBacklog模板!$B$5:$B$36,A10,SprintBacklog模板!$M$5:$M$36,"已完成")+COUNTIFS(SprintBacklog模板!$B$5:$B$36,A10,SprintBacklog模板!$M$5:$M$36,"基本完成")</f>
        <v>0</v>
      </c>
      <c r="I10" s="4" t="str">
        <f t="shared" si="0"/>
        <v>已覆盖待执行</v>
      </c>
      <c r="J10" s="4" t="str">
        <f>_xlfn.TEXTJOIN("；",TRUE,_xlfn._xlws.FILTER(SprintBacklog模板!$O$5:$O$36,SprintBacklog模板!$B$5:$B$36=A10,"待补证据"))</f>
        <v>app/application/plan_service.py；待补 2/3 人前端回归</v>
      </c>
    </row>
    <row r="11" ht="34" customHeight="1" spans="1:10">
      <c r="A11" s="4" t="s">
        <v>186</v>
      </c>
      <c r="B11" s="4" t="s">
        <v>346</v>
      </c>
      <c r="C11" s="4" t="s">
        <v>347</v>
      </c>
      <c r="D11" s="4" t="s">
        <v>348</v>
      </c>
      <c r="E11" s="4">
        <v>5</v>
      </c>
      <c r="F11" s="4">
        <f>COUNTIF(SprintBacklog模板!$B$5:$B$36,A11)</f>
        <v>5</v>
      </c>
      <c r="G11" s="4">
        <f>SUMIF(SprintBacklog模板!$B$5:$B$36,A11,SprintBacklog模板!$H$5:$H$36)</f>
        <v>1</v>
      </c>
      <c r="H11" s="4">
        <f>COUNTIFS(SprintBacklog模板!$B$5:$B$36,A11,SprintBacklog模板!$M$5:$M$36,"已完成")+COUNTIFS(SprintBacklog模板!$B$5:$B$36,A11,SprintBacklog模板!$M$5:$M$36,"基本完成")</f>
        <v>4</v>
      </c>
      <c r="I11" s="4" t="str">
        <f t="shared" si="0"/>
        <v>部分覆盖</v>
      </c>
      <c r="J11" s="4" t="str">
        <f>_xlfn.TEXTJOIN("；",TRUE,_xlfn._xlws.FILTER(SprintBacklog模板!$O$5:$O$36,SprintBacklog模板!$B$5:$B$36=A11,"待补证据"))</f>
        <v>app/api/execution_adjustment_routes.py；backend/tests/test_s2_t019_execution_event_draft.py；app/services/execution_adjustments.py；backend/tests/test_s2_t020_event_constraint_compiler.py；app/application/planning_boundary_service.py；backend/tests/test_s2_t021_t022_execution_replan.py；app/api/execution_replan_routes.py；backend/tests/test_s2_t021_t022_execution_replan.py；frontend/src/pages/WorkspacePage.tsx；frontend/src/services/executionReplan.ts；待公网验收</v>
      </c>
    </row>
    <row r="12" ht="34" customHeight="1" spans="1:10">
      <c r="A12" s="4" t="s">
        <v>172</v>
      </c>
      <c r="B12" s="4" t="s">
        <v>349</v>
      </c>
      <c r="C12" s="4" t="s">
        <v>350</v>
      </c>
      <c r="D12" s="4" t="s">
        <v>351</v>
      </c>
      <c r="E12" s="4">
        <v>5</v>
      </c>
      <c r="F12" s="4">
        <f>COUNTIF(SprintBacklog模板!$B$5:$B$36,A12)</f>
        <v>2</v>
      </c>
      <c r="G12" s="4">
        <f>SUMIF(SprintBacklog模板!$B$5:$B$36,A12,SprintBacklog模板!$H$5:$H$36)</f>
        <v>1</v>
      </c>
      <c r="H12" s="4">
        <f>COUNTIFS(SprintBacklog模板!$B$5:$B$36,A12,SprintBacklog模板!$M$5:$M$36,"已完成")+COUNTIFS(SprintBacklog模板!$B$5:$B$36,A12,SprintBacklog模板!$M$5:$M$36,"基本完成")</f>
        <v>1</v>
      </c>
      <c r="I12" s="4" t="str">
        <f t="shared" si="0"/>
        <v>部分覆盖</v>
      </c>
      <c r="J12" s="4" t="str">
        <f>_xlfn.TEXTJOIN("；",TRUE,_xlfn._xlws.FILTER(SprintBacklog模板!$O$5:$O$36,SprintBacklog模板!$B$5:$B$36=A12,"待补证据"))</f>
        <v>app/api/memory_timeline_routes.py；backend/tests/test_s2_t017_memory_timeline.py；frontend/src/components/MemoryPhotoStrip.tsx；WorkspacePage.tsx；待公网验收</v>
      </c>
    </row>
    <row r="13" ht="34" customHeight="1" spans="1:10">
      <c r="A13" s="4" t="s">
        <v>217</v>
      </c>
      <c r="B13" s="4" t="s">
        <v>352</v>
      </c>
      <c r="C13" s="4" t="s">
        <v>216</v>
      </c>
      <c r="D13" s="4" t="s">
        <v>353</v>
      </c>
      <c r="E13" s="4">
        <v>3</v>
      </c>
      <c r="F13" s="4">
        <f>COUNTIF(SprintBacklog模板!$B$5:$B$36,A13)</f>
        <v>1</v>
      </c>
      <c r="G13" s="4">
        <f>SUMIF(SprintBacklog模板!$B$5:$B$36,A13,SprintBacklog模板!$H$5:$H$36)</f>
        <v>2</v>
      </c>
      <c r="H13" s="4">
        <f>COUNTIFS(SprintBacklog模板!$B$5:$B$36,A13,SprintBacklog模板!$M$5:$M$36,"已完成")+COUNTIFS(SprintBacklog模板!$B$5:$B$36,A13,SprintBacklog模板!$M$5:$M$36,"基本完成")</f>
        <v>0</v>
      </c>
      <c r="I13" s="4" t="str">
        <f t="shared" si="0"/>
        <v>已覆盖待执行</v>
      </c>
      <c r="J13" s="4" t="str">
        <f>_xlfn.TEXTJOIN("；",TRUE,_xlfn._xlws.FILTER(SprintBacklog模板!$O$5:$O$36,SprintBacklog模板!$B$5:$B$36=A13,"待补证据"))</f>
        <v>待 UAT 录屏与公网链接</v>
      </c>
    </row>
    <row r="14" ht="34" customHeight="1" spans="1:10">
      <c r="A14" s="4" t="s">
        <v>227</v>
      </c>
      <c r="B14" s="4" t="s">
        <v>354</v>
      </c>
      <c r="C14" s="4" t="s">
        <v>355</v>
      </c>
      <c r="D14" s="4" t="s">
        <v>356</v>
      </c>
      <c r="E14" s="4">
        <v>5</v>
      </c>
      <c r="F14" s="4">
        <f>COUNTIF(SprintBacklog模板!$B$5:$B$36,A14)</f>
        <v>3</v>
      </c>
      <c r="G14" s="4">
        <f>SUMIF(SprintBacklog模板!$B$5:$B$36,A14,SprintBacklog模板!$H$5:$H$36)</f>
        <v>6</v>
      </c>
      <c r="H14" s="4">
        <f>COUNTIFS(SprintBacklog模板!$B$5:$B$36,A14,SprintBacklog模板!$M$5:$M$36,"已完成")+COUNTIFS(SprintBacklog模板!$B$5:$B$36,A14,SprintBacklog模板!$M$5:$M$36,"基本完成")</f>
        <v>1</v>
      </c>
      <c r="I14" s="4" t="str">
        <f t="shared" si="0"/>
        <v>部分覆盖</v>
      </c>
      <c r="J14" s="4" t="str">
        <f>_xlfn.TEXTJOIN("；",TRUE,_xlfn._xlws.FILTER(SprintBacklog模板!$O$5:$O$36,SprintBacklog模板!$B$5:$B$36=A14,"待补证据"))</f>
        <v>frontend/src/pages/ConversationPlannerPage.tsx；待调用计数录屏；frontend/src/pages/ConversationPlannerPage.tsx；待两成员录屏；frontend/src/pages/MemberConversationPage.tsx；待公网多浏览器验收</v>
      </c>
    </row>
    <row r="15" ht="34" customHeight="1" spans="1:10">
      <c r="A15" s="4" t="s">
        <v>250</v>
      </c>
      <c r="B15" s="4" t="s">
        <v>357</v>
      </c>
      <c r="C15" s="4" t="s">
        <v>358</v>
      </c>
      <c r="D15" s="4" t="s">
        <v>359</v>
      </c>
      <c r="E15" s="4">
        <v>5</v>
      </c>
      <c r="F15" s="4">
        <f>COUNTIF(SprintBacklog模板!$B$5:$B$36,A15)</f>
        <v>2</v>
      </c>
      <c r="G15" s="4">
        <f>SUMIF(SprintBacklog模板!$B$5:$B$36,A15,SprintBacklog模板!$H$5:$H$36)</f>
        <v>4</v>
      </c>
      <c r="H15" s="4">
        <f>COUNTIFS(SprintBacklog模板!$B$5:$B$36,A15,SprintBacklog模板!$M$5:$M$36,"已完成")+COUNTIFS(SprintBacklog模板!$B$5:$B$36,A15,SprintBacklog模板!$M$5:$M$36,"基本完成")</f>
        <v>0</v>
      </c>
      <c r="I15" s="4" t="str">
        <f t="shared" si="0"/>
        <v>已覆盖待执行</v>
      </c>
      <c r="J15" s="4" t="str">
        <f>_xlfn.TEXTJOIN("；",TRUE,_xlfn._xlws.FILTER(SprintBacklog模板!$O$5:$O$36,SprintBacklog模板!$B$5:$B$36=A15,"待补证据"))</f>
        <v>app/api/recommendation_routes.py；app/api/plan_routes.py；待调用计数测试；app/infrastructure/collaboration_store.py；backend/tests/test_collaboration_store.py</v>
      </c>
    </row>
    <row r="16" ht="34" customHeight="1" spans="1:10">
      <c r="A16" s="4" t="s">
        <v>263</v>
      </c>
      <c r="B16" s="4" t="s">
        <v>360</v>
      </c>
      <c r="C16" s="4" t="s">
        <v>361</v>
      </c>
      <c r="D16" s="4" t="s">
        <v>362</v>
      </c>
      <c r="E16" s="4">
        <v>5</v>
      </c>
      <c r="F16" s="4">
        <f>COUNTIF(SprintBacklog模板!$B$5:$B$36,A16)</f>
        <v>2</v>
      </c>
      <c r="G16" s="4">
        <f>SUMIF(SprintBacklog模板!$B$5:$B$36,A16,SprintBacklog模板!$H$5:$H$36)</f>
        <v>3</v>
      </c>
      <c r="H16" s="4">
        <f>COUNTIFS(SprintBacklog模板!$B$5:$B$36,A16,SprintBacklog模板!$M$5:$M$36,"已完成")+COUNTIFS(SprintBacklog模板!$B$5:$B$36,A16,SprintBacklog模板!$M$5:$M$36,"基本完成")</f>
        <v>1</v>
      </c>
      <c r="I16" s="4" t="str">
        <f t="shared" si="0"/>
        <v>部分覆盖</v>
      </c>
      <c r="J16" s="4" t="str">
        <f>_xlfn.TEXTJOIN("；",TRUE,_xlfn._xlws.FILTER(SprintBacklog模板!$O$5:$O$36,SprintBacklog模板!$B$5:$B$36=A16,"待补证据"))</f>
        <v>app/application/recommendation_service.py；待真实高德缓存验收；app/domain/recommendation.py；backend/tests/test_s2_t009_recommendation_orchestration.py</v>
      </c>
    </row>
    <row r="17" ht="34" customHeight="1" spans="1:10">
      <c r="A17" s="4" t="s">
        <v>277</v>
      </c>
      <c r="B17" s="4" t="s">
        <v>363</v>
      </c>
      <c r="C17" s="4" t="s">
        <v>276</v>
      </c>
      <c r="D17" s="4" t="s">
        <v>364</v>
      </c>
      <c r="E17" s="4">
        <v>3</v>
      </c>
      <c r="F17" s="4">
        <f>COUNTIF(SprintBacklog模板!$B$5:$B$36,A17)</f>
        <v>1</v>
      </c>
      <c r="G17" s="4">
        <f>SUMIF(SprintBacklog模板!$B$5:$B$36,A17,SprintBacklog模板!$H$5:$H$36)</f>
        <v>3</v>
      </c>
      <c r="H17" s="4">
        <f>COUNTIFS(SprintBacklog模板!$B$5:$B$36,A17,SprintBacklog模板!$M$5:$M$36,"已完成")+COUNTIFS(SprintBacklog模板!$B$5:$B$36,A17,SprintBacklog模板!$M$5:$M$36,"基本完成")</f>
        <v>0</v>
      </c>
      <c r="I17" s="4" t="str">
        <f t="shared" si="0"/>
        <v>已覆盖待执行</v>
      </c>
      <c r="J17" s="4" t="str">
        <f>_xlfn.TEXTJOIN("；",TRUE,_xlfn._xlws.FILTER(SprintBacklog模板!$O$5:$O$36,SprintBacklog模板!$B$5:$B$36=A17,"待补证据"))</f>
        <v>待 UAT 编号 UAT-S2-E2E-001</v>
      </c>
    </row>
    <row r="18" ht="34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4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4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14.4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14.4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14.4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14.4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14.4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14.4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14.4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14.4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14.4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14.4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14.4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14.4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14.4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14.4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14.4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14.25" customHeight="1" spans="1:10">
      <c r="A36" s="5"/>
      <c r="B36" s="5"/>
      <c r="C36" s="6"/>
      <c r="D36" s="6"/>
    </row>
    <row r="37" ht="14.25" customHeight="1" spans="1:10">
      <c r="A37" s="5"/>
      <c r="B37" s="5"/>
      <c r="C37" s="6"/>
      <c r="D37" s="6"/>
    </row>
    <row r="38" ht="14.25" customHeight="1" spans="1:10">
      <c r="A38" s="5"/>
      <c r="B38" s="5"/>
      <c r="C38" s="6"/>
      <c r="D38" s="6"/>
    </row>
    <row r="39" ht="14.25" customHeight="1" spans="1:10">
      <c r="A39" s="5"/>
      <c r="B39" s="5"/>
      <c r="C39" s="6"/>
      <c r="D39" s="6"/>
    </row>
  </sheetData>
  <mergeCells count="4">
    <mergeCell ref="A1:J1"/>
    <mergeCell ref="A2:J2"/>
    <mergeCell ref="A3:J3"/>
    <mergeCell ref="A20:J20"/>
  </mergeCells>
  <conditionalFormatting sqref="I6:I17">
    <cfRule type="containsText" dxfId="0" priority="1" operator="between" text="已覆盖">
      <formula>NOT(ISERROR(SEARCH("已覆盖",I6)))</formula>
    </cfRule>
    <cfRule type="containsText" dxfId="1" priority="2" operator="between" text="缺口">
      <formula>NOT(ISERROR(SEARCH("缺口",I6)))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2"/>
  <sheetViews>
    <sheetView showGridLines="0" workbookViewId="0">
      <selection activeCell="A1" sqref="A1:K1"/>
    </sheetView>
  </sheetViews>
  <sheetFormatPr defaultColWidth="9" defaultRowHeight="15"/>
  <cols>
    <col min="1" max="1" width="16" customWidth="1"/>
    <col min="2" max="3" width="24" customWidth="1"/>
    <col min="4" max="5" width="28" customWidth="1"/>
    <col min="6" max="6" width="30" customWidth="1"/>
    <col min="7" max="7" width="24" customWidth="1"/>
    <col min="8" max="8" width="30" customWidth="1"/>
    <col min="9" max="10" width="24" customWidth="1"/>
    <col min="11" max="11" width="36" customWidth="1"/>
  </cols>
  <sheetData>
    <row r="1" ht="44" customHeight="1" spans="1:11">
      <c r="A1" s="1" t="s">
        <v>365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44" customHeight="1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ht="44" customHeight="1" spans="1:11">
      <c r="A3" s="3" t="s">
        <v>366</v>
      </c>
      <c r="B3" s="3" t="s">
        <v>367</v>
      </c>
      <c r="C3" s="3" t="s">
        <v>368</v>
      </c>
      <c r="D3" s="3" t="s">
        <v>369</v>
      </c>
      <c r="E3" s="3" t="s">
        <v>370</v>
      </c>
      <c r="F3" s="3" t="s">
        <v>371</v>
      </c>
      <c r="G3" s="3" t="s">
        <v>372</v>
      </c>
      <c r="H3" s="3" t="s">
        <v>373</v>
      </c>
      <c r="I3" s="3" t="s">
        <v>374</v>
      </c>
      <c r="J3" s="3" t="s">
        <v>375</v>
      </c>
      <c r="K3" s="3" t="s">
        <v>331</v>
      </c>
    </row>
    <row r="4" ht="44" customHeight="1" spans="1:11">
      <c r="A4" s="4" t="s">
        <v>376</v>
      </c>
      <c r="B4" s="4" t="s">
        <v>377</v>
      </c>
      <c r="C4" s="4" t="s">
        <v>378</v>
      </c>
      <c r="D4" s="4" t="s">
        <v>379</v>
      </c>
      <c r="E4" s="4" t="s">
        <v>380</v>
      </c>
      <c r="F4" s="4" t="s">
        <v>381</v>
      </c>
      <c r="G4" s="4" t="s">
        <v>382</v>
      </c>
      <c r="H4" s="4" t="s">
        <v>383</v>
      </c>
      <c r="I4" s="4" t="s">
        <v>384</v>
      </c>
      <c r="J4" s="4" t="s">
        <v>385</v>
      </c>
      <c r="K4" s="4" t="s">
        <v>386</v>
      </c>
    </row>
    <row r="5" ht="44" customHeight="1" spans="1:11">
      <c r="A5" s="4" t="s">
        <v>387</v>
      </c>
      <c r="B5" s="4" t="s">
        <v>388</v>
      </c>
      <c r="C5" s="4" t="s">
        <v>389</v>
      </c>
      <c r="D5" s="4" t="s">
        <v>390</v>
      </c>
      <c r="E5" s="4" t="s">
        <v>391</v>
      </c>
      <c r="F5" s="4" t="s">
        <v>392</v>
      </c>
      <c r="G5" s="4" t="s">
        <v>393</v>
      </c>
      <c r="H5" s="4" t="s">
        <v>394</v>
      </c>
      <c r="I5" s="4" t="s">
        <v>384</v>
      </c>
      <c r="J5" s="4" t="s">
        <v>395</v>
      </c>
      <c r="K5" s="4" t="s">
        <v>396</v>
      </c>
    </row>
    <row r="6" ht="44" customHeight="1" spans="1:11">
      <c r="A6" s="4" t="s">
        <v>397</v>
      </c>
      <c r="B6" s="4" t="s">
        <v>398</v>
      </c>
      <c r="C6" s="4" t="s">
        <v>399</v>
      </c>
      <c r="D6" s="4" t="s">
        <v>400</v>
      </c>
      <c r="E6" s="4" t="s">
        <v>401</v>
      </c>
      <c r="F6" s="4" t="s">
        <v>402</v>
      </c>
      <c r="G6" s="4" t="s">
        <v>403</v>
      </c>
      <c r="H6" s="4" t="s">
        <v>404</v>
      </c>
      <c r="I6" s="4" t="s">
        <v>405</v>
      </c>
      <c r="J6" s="4" t="s">
        <v>406</v>
      </c>
      <c r="K6" s="4" t="s">
        <v>407</v>
      </c>
    </row>
    <row r="7" ht="44" customHeight="1" spans="1:11">
      <c r="A7" s="4" t="s">
        <v>408</v>
      </c>
      <c r="B7" s="4" t="s">
        <v>409</v>
      </c>
      <c r="C7" s="4" t="s">
        <v>410</v>
      </c>
      <c r="D7" s="4" t="s">
        <v>411</v>
      </c>
      <c r="E7" s="4" t="s">
        <v>412</v>
      </c>
      <c r="F7" s="4" t="s">
        <v>413</v>
      </c>
      <c r="G7" s="4" t="s">
        <v>414</v>
      </c>
      <c r="H7" s="4" t="s">
        <v>415</v>
      </c>
      <c r="I7" s="4" t="s">
        <v>384</v>
      </c>
      <c r="J7" s="4" t="s">
        <v>416</v>
      </c>
      <c r="K7" s="4" t="s">
        <v>417</v>
      </c>
    </row>
    <row r="8" ht="44" customHeight="1" spans="1:11">
      <c r="A8" s="4" t="s">
        <v>418</v>
      </c>
      <c r="B8" s="4" t="s">
        <v>419</v>
      </c>
      <c r="C8" s="4" t="s">
        <v>420</v>
      </c>
      <c r="D8" s="4" t="s">
        <v>421</v>
      </c>
      <c r="E8" s="4" t="s">
        <v>384</v>
      </c>
      <c r="F8" s="4" t="s">
        <v>422</v>
      </c>
      <c r="G8" s="4" t="s">
        <v>423</v>
      </c>
      <c r="H8" s="4" t="s">
        <v>424</v>
      </c>
      <c r="I8" s="4" t="s">
        <v>425</v>
      </c>
      <c r="J8" s="4" t="s">
        <v>426</v>
      </c>
      <c r="K8" s="4" t="s">
        <v>427</v>
      </c>
    </row>
    <row r="9" ht="44" customHeight="1" spans="1:11">
      <c r="A9" s="4" t="s">
        <v>428</v>
      </c>
      <c r="B9" s="4" t="s">
        <v>429</v>
      </c>
      <c r="C9" s="4" t="s">
        <v>430</v>
      </c>
      <c r="D9" s="4" t="s">
        <v>431</v>
      </c>
      <c r="E9" s="4" t="s">
        <v>432</v>
      </c>
      <c r="F9" s="4" t="s">
        <v>433</v>
      </c>
      <c r="G9" s="4" t="s">
        <v>434</v>
      </c>
      <c r="H9" s="4" t="s">
        <v>435</v>
      </c>
      <c r="I9" s="4" t="s">
        <v>436</v>
      </c>
      <c r="J9" s="4" t="s">
        <v>437</v>
      </c>
      <c r="K9" s="4" t="s">
        <v>438</v>
      </c>
    </row>
    <row r="10" ht="44" customHeight="1" spans="1:11">
      <c r="A10" s="4" t="s">
        <v>439</v>
      </c>
      <c r="B10" s="4" t="s">
        <v>440</v>
      </c>
      <c r="C10" s="4" t="s">
        <v>441</v>
      </c>
      <c r="D10" s="4" t="s">
        <v>442</v>
      </c>
      <c r="E10" s="4" t="s">
        <v>443</v>
      </c>
      <c r="F10" s="4" t="s">
        <v>444</v>
      </c>
      <c r="G10" s="4" t="s">
        <v>445</v>
      </c>
      <c r="H10" s="4" t="s">
        <v>446</v>
      </c>
      <c r="I10" s="4" t="s">
        <v>447</v>
      </c>
      <c r="J10" s="4" t="s">
        <v>448</v>
      </c>
      <c r="K10" s="4" t="s">
        <v>449</v>
      </c>
    </row>
    <row r="11" ht="44" customHeight="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ht="44" customHeight="1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ht="44" customHeight="1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ht="44" customHeight="1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ht="14.4" customHeight="1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ht="14.4" customHeight="1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ht="14.4" customHeight="1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ht="14.4" customHeight="1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ht="14.4" customHeight="1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ht="14.4" customHeight="1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ht="14.4" customHeight="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ht="14.4" customHeight="1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ht="14.4" customHeight="1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ht="14.4" customHeight="1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ht="14.4" customHeight="1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ht="14.4" customHeight="1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ht="14.4" customHeight="1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ht="14.4" customHeight="1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ht="14.4" customHeight="1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ht="14.4" customHeight="1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ht="14.4" customHeight="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ht="14.4" customHeight="1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ht="14.4" customHeight="1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ht="14.4" customHeight="1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ht="14.4" customHeight="1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ht="14.4" customHeight="1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ht="14.4" customHeight="1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ht="14.4" customHeight="1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ht="14.4" customHeight="1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ht="14.4" customHeight="1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ht="14.4" customHeight="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ht="14.4" customHeight="1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ht="14.4" customHeight="1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ht="14.4" customHeight="1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ht="14.4" customHeight="1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ht="14.4" customHeight="1"/>
    <row r="47" ht="14.4" customHeight="1"/>
    <row r="48" ht="14.4" customHeight="1"/>
    <row r="49" ht="14.4" customHeight="1"/>
    <row r="50" ht="14.4" customHeight="1"/>
    <row r="52" ht="14.4" customHeight="1"/>
    <row r="53" ht="14.4" customHeight="1"/>
    <row r="54" ht="14.4" customHeight="1"/>
    <row r="55" ht="14.4" customHeight="1"/>
    <row r="56" ht="14.4" customHeight="1"/>
    <row r="57" ht="14.4" customHeight="1"/>
    <row r="58" ht="14.4" customHeight="1"/>
    <row r="60" ht="14.4" customHeight="1"/>
    <row r="61" ht="14.4" customHeight="1"/>
    <row r="62" ht="14.4" customHeight="1"/>
    <row r="63" ht="14.4" customHeight="1"/>
    <row r="64" ht="14.4" customHeight="1"/>
    <row r="65" ht="14.4" customHeight="1"/>
    <row r="66" ht="14.4" customHeight="1"/>
    <row r="67" ht="14.4" customHeight="1"/>
    <row r="68" ht="14.4" customHeight="1"/>
    <row r="69" ht="14.4" customHeight="1"/>
    <row r="75" ht="14.4" customHeight="1"/>
    <row r="76" ht="14.4" customHeight="1"/>
    <row r="77" ht="14.4" customHeight="1"/>
    <row r="78" ht="14.4" customHeight="1"/>
    <row r="79" ht="14.4" customHeight="1"/>
    <row r="80" ht="14.4" customHeight="1"/>
    <row r="81" ht="68" customHeight="1"/>
    <row r="82" ht="68" customHeight="1"/>
  </sheetData>
  <mergeCells count="12">
    <mergeCell ref="A1:H1"/>
    <mergeCell ref="A1:K1"/>
    <mergeCell ref="A2:H2"/>
    <mergeCell ref="A4:H4"/>
    <mergeCell ref="A16:H16"/>
    <mergeCell ref="A26:H26"/>
    <mergeCell ref="A41:H41"/>
    <mergeCell ref="A52:H52"/>
    <mergeCell ref="A60:H60"/>
    <mergeCell ref="A75:H75"/>
    <mergeCell ref="A23:H24"/>
    <mergeCell ref="A71:H73"/>
  </mergeCells>
  <pageMargins left="0.7" right="0.7" top="0.75" bottom="0.75" header="0.3" footer="0.3"/>
  <headerFooter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5"/>
  <sheetViews>
    <sheetView showGridLines="0" workbookViewId="0">
      <selection activeCell="A1" sqref="A1:K1"/>
    </sheetView>
  </sheetViews>
  <sheetFormatPr defaultColWidth="9" defaultRowHeight="15"/>
  <cols>
    <col min="1" max="1" width="16" customWidth="1"/>
    <col min="2" max="2" width="12" customWidth="1"/>
    <col min="3" max="3" width="28" customWidth="1"/>
    <col min="4" max="4" width="22" customWidth="1"/>
    <col min="5" max="5" width="28" customWidth="1"/>
    <col min="6" max="6" width="16" customWidth="1"/>
    <col min="7" max="7" width="24" customWidth="1"/>
    <col min="8" max="8" width="30" customWidth="1"/>
    <col min="9" max="9" width="12" customWidth="1"/>
    <col min="10" max="10" width="18" customWidth="1"/>
    <col min="11" max="11" width="36" customWidth="1"/>
  </cols>
  <sheetData>
    <row r="1" ht="44" customHeight="1" spans="1:11">
      <c r="A1" s="1" t="s">
        <v>450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44" customHeight="1" spans="1:11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ht="44" customHeight="1" spans="1:11">
      <c r="A3" s="3" t="s">
        <v>451</v>
      </c>
      <c r="B3" s="3" t="s">
        <v>452</v>
      </c>
      <c r="C3" s="3" t="s">
        <v>453</v>
      </c>
      <c r="D3" s="3" t="s">
        <v>454</v>
      </c>
      <c r="E3" s="3" t="s">
        <v>455</v>
      </c>
      <c r="F3" s="3" t="s">
        <v>456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</row>
    <row r="4" ht="44" customHeight="1" spans="1:11">
      <c r="A4" s="4" t="s">
        <v>462</v>
      </c>
      <c r="B4" s="4" t="s">
        <v>463</v>
      </c>
      <c r="C4" s="4" t="s">
        <v>464</v>
      </c>
      <c r="D4" s="4" t="s">
        <v>465</v>
      </c>
      <c r="E4" s="4" t="s">
        <v>466</v>
      </c>
      <c r="F4" s="4" t="s">
        <v>467</v>
      </c>
      <c r="G4" s="4" t="s">
        <v>468</v>
      </c>
      <c r="H4" s="4" t="s">
        <v>469</v>
      </c>
      <c r="I4" s="4" t="s">
        <v>384</v>
      </c>
      <c r="J4" s="4" t="s">
        <v>470</v>
      </c>
      <c r="K4" s="4" t="s">
        <v>471</v>
      </c>
    </row>
    <row r="5" ht="44" customHeight="1" spans="1:11">
      <c r="A5" s="4" t="s">
        <v>472</v>
      </c>
      <c r="B5" s="4" t="s">
        <v>463</v>
      </c>
      <c r="C5" s="4" t="s">
        <v>473</v>
      </c>
      <c r="D5" s="4" t="s">
        <v>474</v>
      </c>
      <c r="E5" s="4" t="s">
        <v>475</v>
      </c>
      <c r="F5" s="4" t="s">
        <v>467</v>
      </c>
      <c r="G5" s="4" t="s">
        <v>476</v>
      </c>
      <c r="H5" s="4" t="s">
        <v>477</v>
      </c>
      <c r="I5" s="4" t="s">
        <v>384</v>
      </c>
      <c r="J5" s="4" t="s">
        <v>478</v>
      </c>
      <c r="K5" s="4" t="s">
        <v>479</v>
      </c>
    </row>
    <row r="6" ht="44" customHeight="1" spans="1:11">
      <c r="A6" s="4" t="s">
        <v>480</v>
      </c>
      <c r="B6" s="4" t="s">
        <v>463</v>
      </c>
      <c r="C6" s="4" t="s">
        <v>481</v>
      </c>
      <c r="D6" s="4" t="s">
        <v>482</v>
      </c>
      <c r="E6" s="4" t="s">
        <v>483</v>
      </c>
      <c r="F6" s="4" t="s">
        <v>467</v>
      </c>
      <c r="G6" s="4" t="s">
        <v>484</v>
      </c>
      <c r="H6" s="4" t="s">
        <v>485</v>
      </c>
      <c r="I6" s="4" t="s">
        <v>384</v>
      </c>
      <c r="J6" s="4" t="s">
        <v>470</v>
      </c>
      <c r="K6" s="4" t="s">
        <v>486</v>
      </c>
    </row>
    <row r="7" ht="44" customHeight="1" spans="1:11">
      <c r="A7" s="4" t="s">
        <v>487</v>
      </c>
      <c r="B7" s="4" t="s">
        <v>463</v>
      </c>
      <c r="C7" s="4" t="s">
        <v>488</v>
      </c>
      <c r="D7" s="4" t="s">
        <v>489</v>
      </c>
      <c r="E7" s="4" t="s">
        <v>490</v>
      </c>
      <c r="F7" s="4" t="s">
        <v>467</v>
      </c>
      <c r="G7" s="4" t="s">
        <v>491</v>
      </c>
      <c r="H7" s="4" t="s">
        <v>492</v>
      </c>
      <c r="I7" s="4" t="s">
        <v>384</v>
      </c>
      <c r="J7" s="4" t="s">
        <v>493</v>
      </c>
      <c r="K7" s="4" t="s">
        <v>494</v>
      </c>
    </row>
    <row r="8" ht="44" customHeight="1" spans="1:11">
      <c r="A8" s="4" t="s">
        <v>495</v>
      </c>
      <c r="B8" s="4" t="s">
        <v>496</v>
      </c>
      <c r="C8" s="4" t="s">
        <v>497</v>
      </c>
      <c r="D8" s="4" t="s">
        <v>498</v>
      </c>
      <c r="E8" s="4" t="s">
        <v>499</v>
      </c>
      <c r="F8" s="4" t="s">
        <v>500</v>
      </c>
      <c r="G8" s="4" t="s">
        <v>501</v>
      </c>
      <c r="H8" s="4" t="s">
        <v>502</v>
      </c>
      <c r="I8" s="4" t="s">
        <v>503</v>
      </c>
      <c r="J8" s="4" t="s">
        <v>504</v>
      </c>
      <c r="K8" s="4" t="s">
        <v>505</v>
      </c>
    </row>
    <row r="9" ht="44" customHeight="1" spans="1:11">
      <c r="A9" s="4" t="s">
        <v>506</v>
      </c>
      <c r="B9" s="4" t="s">
        <v>496</v>
      </c>
      <c r="C9" s="4" t="s">
        <v>507</v>
      </c>
      <c r="D9" s="4" t="s">
        <v>508</v>
      </c>
      <c r="E9" s="4" t="s">
        <v>509</v>
      </c>
      <c r="F9" s="4" t="s">
        <v>510</v>
      </c>
      <c r="G9" s="4" t="s">
        <v>511</v>
      </c>
      <c r="H9" s="4" t="s">
        <v>512</v>
      </c>
      <c r="I9" s="4" t="s">
        <v>513</v>
      </c>
      <c r="J9" s="4" t="s">
        <v>514</v>
      </c>
      <c r="K9" s="4" t="s">
        <v>515</v>
      </c>
    </row>
    <row r="10" ht="44" customHeight="1" spans="1:11">
      <c r="A10" s="4" t="s">
        <v>516</v>
      </c>
      <c r="B10" s="4" t="s">
        <v>496</v>
      </c>
      <c r="C10" s="4" t="s">
        <v>517</v>
      </c>
      <c r="D10" s="4" t="s">
        <v>518</v>
      </c>
      <c r="E10" s="4" t="s">
        <v>519</v>
      </c>
      <c r="F10" s="4" t="s">
        <v>467</v>
      </c>
      <c r="G10" s="4" t="s">
        <v>520</v>
      </c>
      <c r="H10" s="4" t="s">
        <v>521</v>
      </c>
      <c r="I10" s="4" t="s">
        <v>384</v>
      </c>
      <c r="J10" s="4" t="s">
        <v>522</v>
      </c>
      <c r="K10" s="4" t="s">
        <v>523</v>
      </c>
    </row>
    <row r="11" ht="44" customHeight="1" spans="1: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ht="44" customHeight="1" spans="1:1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ht="44" customHeight="1" spans="1:1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ht="44" customHeight="1" spans="1:1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ht="14.4" customHeight="1" spans="1:1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ht="14.4" customHeight="1" spans="1:1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ht="14.4" customHeight="1" spans="1:1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ht="14.4" customHeight="1" spans="1:1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ht="14.4" customHeight="1" spans="1:1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ht="14.4" customHeight="1" spans="1:1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ht="14.4" customHeight="1" spans="1:1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ht="14.4" customHeight="1" spans="1:1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ht="14.4" customHeight="1" spans="1:1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ht="14.4" customHeight="1" spans="1:1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ht="14.4" customHeight="1" spans="1:1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ht="14.4" customHeight="1" spans="1:1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ht="14.4" customHeight="1" spans="1:1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ht="14.4" customHeight="1" spans="1:1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ht="14.4" customHeight="1" spans="1:1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ht="14.4" customHeight="1" spans="1:1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ht="14.4" customHeight="1" spans="1:1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ht="14.4" customHeight="1" spans="1:1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ht="14.4" customHeight="1" spans="1:1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ht="14.4" customHeight="1" spans="1:1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ht="14.4" customHeight="1" spans="1:1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ht="14.4" customHeight="1" spans="1:1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ht="14.4" customHeight="1" spans="1:1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ht="14.4" customHeight="1" spans="1:1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ht="14.4" customHeight="1" spans="1:1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ht="14.4" customHeight="1" spans="1:1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ht="14.4" customHeight="1" spans="1:1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ht="14.4" customHeight="1" spans="1:1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ht="14.4" customHeight="1" spans="1:1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ht="14.4" customHeight="1" spans="1:1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ht="14.4" customHeight="1" spans="1:1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</sheetData>
  <mergeCells count="6">
    <mergeCell ref="A1:H1"/>
    <mergeCell ref="A1:K1"/>
    <mergeCell ref="A2:H2"/>
    <mergeCell ref="A35:H35"/>
    <mergeCell ref="A36:H40"/>
    <mergeCell ref="A42:H45"/>
  </mergeCells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showGridLines="0" workbookViewId="0">
      <selection activeCell="A1" sqref="A1:J1"/>
    </sheetView>
  </sheetViews>
  <sheetFormatPr defaultColWidth="9" defaultRowHeight="15"/>
  <cols>
    <col min="1" max="1" width="14" customWidth="1"/>
    <col min="2" max="2" width="24" customWidth="1"/>
    <col min="3" max="3" width="30" customWidth="1"/>
    <col min="4" max="4" width="34" customWidth="1"/>
    <col min="5" max="5" width="42" customWidth="1"/>
    <col min="6" max="7" width="12" customWidth="1"/>
    <col min="8" max="9" width="18" customWidth="1"/>
    <col min="10" max="10" width="24" customWidth="1"/>
  </cols>
  <sheetData>
    <row r="1" ht="48" customHeight="1" spans="1:10">
      <c r="A1" s="1" t="s">
        <v>524</v>
      </c>
      <c r="B1" s="1"/>
      <c r="C1" s="1"/>
      <c r="D1" s="1"/>
      <c r="E1" s="1"/>
      <c r="F1" s="1"/>
      <c r="G1" s="1"/>
      <c r="H1" s="1"/>
      <c r="I1" s="1"/>
      <c r="J1" s="1"/>
    </row>
    <row r="2" ht="48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48" customHeight="1" spans="1:10">
      <c r="A3" s="3" t="s">
        <v>525</v>
      </c>
      <c r="B3" s="3" t="s">
        <v>526</v>
      </c>
      <c r="C3" s="3" t="s">
        <v>527</v>
      </c>
      <c r="D3" s="3" t="s">
        <v>528</v>
      </c>
      <c r="E3" s="3" t="s">
        <v>529</v>
      </c>
      <c r="F3" s="3" t="s">
        <v>38</v>
      </c>
      <c r="G3" s="3" t="s">
        <v>40</v>
      </c>
      <c r="H3" s="3" t="s">
        <v>530</v>
      </c>
      <c r="I3" s="3" t="s">
        <v>531</v>
      </c>
      <c r="J3" s="3" t="s">
        <v>532</v>
      </c>
    </row>
    <row r="4" ht="48" customHeight="1" spans="1:10">
      <c r="A4" s="4" t="s">
        <v>533</v>
      </c>
      <c r="B4" s="4" t="s">
        <v>534</v>
      </c>
      <c r="C4" s="4" t="s">
        <v>535</v>
      </c>
      <c r="D4" s="4" t="s">
        <v>536</v>
      </c>
      <c r="E4" s="4" t="s">
        <v>537</v>
      </c>
      <c r="F4" s="4" t="s">
        <v>125</v>
      </c>
      <c r="G4" s="4" t="s">
        <v>538</v>
      </c>
      <c r="H4" s="4" t="s">
        <v>539</v>
      </c>
      <c r="I4" s="4" t="s">
        <v>226</v>
      </c>
      <c r="J4" s="4" t="s">
        <v>66</v>
      </c>
    </row>
    <row r="5" ht="48" customHeight="1" spans="1:10">
      <c r="A5" s="4" t="s">
        <v>540</v>
      </c>
      <c r="B5" s="4" t="s">
        <v>541</v>
      </c>
      <c r="C5" s="4" t="s">
        <v>542</v>
      </c>
      <c r="D5" s="4" t="s">
        <v>543</v>
      </c>
      <c r="E5" s="4" t="s">
        <v>544</v>
      </c>
      <c r="F5" s="4" t="s">
        <v>125</v>
      </c>
      <c r="G5" s="4" t="s">
        <v>538</v>
      </c>
      <c r="H5" s="4" t="s">
        <v>545</v>
      </c>
      <c r="I5" s="4" t="s">
        <v>235</v>
      </c>
      <c r="J5" s="4" t="s">
        <v>66</v>
      </c>
    </row>
    <row r="6" ht="48" customHeight="1" spans="1:10">
      <c r="A6" s="4" t="s">
        <v>546</v>
      </c>
      <c r="B6" s="4" t="s">
        <v>547</v>
      </c>
      <c r="C6" s="4" t="s">
        <v>548</v>
      </c>
      <c r="D6" s="4" t="s">
        <v>549</v>
      </c>
      <c r="E6" s="4" t="s">
        <v>550</v>
      </c>
      <c r="F6" s="4" t="s">
        <v>112</v>
      </c>
      <c r="G6" s="4" t="s">
        <v>538</v>
      </c>
      <c r="H6" s="4" t="s">
        <v>539</v>
      </c>
      <c r="I6" s="4" t="s">
        <v>551</v>
      </c>
      <c r="J6" s="4" t="s">
        <v>66</v>
      </c>
    </row>
    <row r="7" ht="48" customHeight="1" spans="1:10">
      <c r="A7" s="4" t="s">
        <v>552</v>
      </c>
      <c r="B7" s="4" t="s">
        <v>553</v>
      </c>
      <c r="C7" s="4" t="s">
        <v>554</v>
      </c>
      <c r="D7" s="4" t="s">
        <v>555</v>
      </c>
      <c r="E7" s="4" t="s">
        <v>556</v>
      </c>
      <c r="F7" s="4" t="s">
        <v>98</v>
      </c>
      <c r="G7" s="4" t="s">
        <v>557</v>
      </c>
      <c r="H7" s="4" t="s">
        <v>558</v>
      </c>
      <c r="I7" s="4" t="s">
        <v>249</v>
      </c>
      <c r="J7" s="4" t="s">
        <v>66</v>
      </c>
    </row>
    <row r="8" ht="48" customHeight="1" spans="1:10">
      <c r="A8" s="4" t="s">
        <v>559</v>
      </c>
      <c r="B8" s="4" t="s">
        <v>560</v>
      </c>
      <c r="C8" s="4" t="s">
        <v>561</v>
      </c>
      <c r="D8" s="4" t="s">
        <v>562</v>
      </c>
      <c r="E8" s="4" t="s">
        <v>563</v>
      </c>
      <c r="F8" s="4" t="s">
        <v>112</v>
      </c>
      <c r="G8" s="4" t="s">
        <v>538</v>
      </c>
      <c r="H8" s="4" t="s">
        <v>564</v>
      </c>
      <c r="I8" s="4" t="s">
        <v>257</v>
      </c>
      <c r="J8" s="4" t="s">
        <v>66</v>
      </c>
    </row>
    <row r="9" ht="48" customHeight="1" spans="1:10">
      <c r="A9" s="4" t="s">
        <v>565</v>
      </c>
      <c r="B9" s="4" t="s">
        <v>335</v>
      </c>
      <c r="C9" s="4" t="s">
        <v>566</v>
      </c>
      <c r="D9" s="4" t="s">
        <v>567</v>
      </c>
      <c r="E9" s="4" t="s">
        <v>568</v>
      </c>
      <c r="F9" s="4" t="s">
        <v>98</v>
      </c>
      <c r="G9" s="4" t="s">
        <v>538</v>
      </c>
      <c r="H9" s="4" t="s">
        <v>569</v>
      </c>
      <c r="I9" s="4" t="s">
        <v>570</v>
      </c>
      <c r="J9" s="4" t="s">
        <v>66</v>
      </c>
    </row>
    <row r="10" ht="48" customHeight="1" spans="1:10">
      <c r="A10" s="4" t="s">
        <v>571</v>
      </c>
      <c r="B10" s="4" t="s">
        <v>572</v>
      </c>
      <c r="C10" s="4" t="s">
        <v>573</v>
      </c>
      <c r="D10" s="4" t="s">
        <v>574</v>
      </c>
      <c r="E10" s="4" t="s">
        <v>575</v>
      </c>
      <c r="F10" s="4" t="s">
        <v>125</v>
      </c>
      <c r="G10" s="4" t="s">
        <v>576</v>
      </c>
      <c r="H10" s="4" t="s">
        <v>577</v>
      </c>
      <c r="I10" s="4" t="s">
        <v>339</v>
      </c>
      <c r="J10" s="4" t="s">
        <v>66</v>
      </c>
    </row>
    <row r="11" ht="48" customHeight="1" spans="1:10">
      <c r="A11" s="4" t="s">
        <v>578</v>
      </c>
      <c r="B11" s="4" t="s">
        <v>579</v>
      </c>
      <c r="C11" s="4" t="s">
        <v>580</v>
      </c>
      <c r="D11" s="4" t="s">
        <v>581</v>
      </c>
      <c r="E11" s="4" t="s">
        <v>582</v>
      </c>
      <c r="F11" s="4" t="s">
        <v>125</v>
      </c>
      <c r="G11" s="4" t="s">
        <v>538</v>
      </c>
      <c r="H11" s="4" t="s">
        <v>583</v>
      </c>
      <c r="I11" s="4" t="s">
        <v>584</v>
      </c>
      <c r="J11" s="4" t="s">
        <v>66</v>
      </c>
    </row>
    <row r="12" ht="48" customHeight="1" spans="1:10">
      <c r="A12" s="4" t="s">
        <v>585</v>
      </c>
      <c r="B12" s="4" t="s">
        <v>586</v>
      </c>
      <c r="C12" s="4" t="s">
        <v>587</v>
      </c>
      <c r="D12" s="4" t="s">
        <v>588</v>
      </c>
      <c r="E12" s="4" t="s">
        <v>589</v>
      </c>
      <c r="F12" s="4" t="s">
        <v>112</v>
      </c>
      <c r="G12" s="4" t="s">
        <v>576</v>
      </c>
      <c r="H12" s="4" t="s">
        <v>590</v>
      </c>
      <c r="I12" s="4" t="s">
        <v>347</v>
      </c>
      <c r="J12" s="4" t="s">
        <v>66</v>
      </c>
    </row>
    <row r="13" ht="48" customHeight="1" spans="1:10">
      <c r="A13" s="4" t="s">
        <v>591</v>
      </c>
      <c r="B13" s="4" t="s">
        <v>592</v>
      </c>
      <c r="C13" s="4" t="s">
        <v>593</v>
      </c>
      <c r="D13" s="4" t="s">
        <v>594</v>
      </c>
      <c r="E13" s="4" t="s">
        <v>595</v>
      </c>
      <c r="F13" s="4" t="s">
        <v>112</v>
      </c>
      <c r="G13" s="4" t="s">
        <v>576</v>
      </c>
      <c r="H13" s="4" t="s">
        <v>596</v>
      </c>
      <c r="I13" s="4" t="s">
        <v>597</v>
      </c>
      <c r="J13" s="4" t="s">
        <v>66</v>
      </c>
    </row>
    <row r="14" ht="48" customHeight="1" spans="1:10">
      <c r="A14" s="4" t="s">
        <v>598</v>
      </c>
      <c r="B14" s="4" t="s">
        <v>349</v>
      </c>
      <c r="C14" s="4" t="s">
        <v>599</v>
      </c>
      <c r="D14" s="4" t="s">
        <v>600</v>
      </c>
      <c r="E14" s="4" t="s">
        <v>601</v>
      </c>
      <c r="F14" s="4" t="s">
        <v>125</v>
      </c>
      <c r="G14" s="4" t="s">
        <v>538</v>
      </c>
      <c r="H14" s="4" t="s">
        <v>602</v>
      </c>
      <c r="I14" s="4" t="s">
        <v>603</v>
      </c>
      <c r="J14" s="4" t="s">
        <v>66</v>
      </c>
    </row>
    <row r="15" ht="48" customHeight="1" spans="1:10">
      <c r="A15" s="4" t="s">
        <v>604</v>
      </c>
      <c r="B15" s="4" t="s">
        <v>605</v>
      </c>
      <c r="C15" s="4" t="s">
        <v>606</v>
      </c>
      <c r="D15" s="4" t="s">
        <v>607</v>
      </c>
      <c r="E15" s="4" t="s">
        <v>608</v>
      </c>
      <c r="F15" s="4" t="s">
        <v>112</v>
      </c>
      <c r="G15" s="4" t="s">
        <v>89</v>
      </c>
      <c r="H15" s="4" t="s">
        <v>609</v>
      </c>
      <c r="I15" s="4" t="s">
        <v>610</v>
      </c>
      <c r="J15" s="4" t="s">
        <v>66</v>
      </c>
    </row>
    <row r="16" ht="48" customHeight="1" spans="1:10">
      <c r="A16" s="4" t="s">
        <v>611</v>
      </c>
      <c r="B16" s="4" t="s">
        <v>612</v>
      </c>
      <c r="C16" s="4" t="s">
        <v>613</v>
      </c>
      <c r="D16" s="4" t="s">
        <v>614</v>
      </c>
      <c r="E16" s="4" t="s">
        <v>615</v>
      </c>
      <c r="F16" s="4" t="s">
        <v>58</v>
      </c>
      <c r="G16" s="4" t="s">
        <v>538</v>
      </c>
      <c r="H16" s="4" t="s">
        <v>616</v>
      </c>
      <c r="I16" s="4" t="s">
        <v>617</v>
      </c>
      <c r="J16" s="4" t="s">
        <v>66</v>
      </c>
    </row>
    <row r="17" ht="48" customHeight="1" spans="1:10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ht="48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</sheetData>
  <mergeCells count="1">
    <mergeCell ref="A1:J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版权说明</vt:lpstr>
      <vt:lpstr>SprintBacklog模板</vt:lpstr>
      <vt:lpstr>燃尽图</vt:lpstr>
      <vt:lpstr>PBI追溯</vt:lpstr>
      <vt:lpstr>LLM接入设计</vt:lpstr>
      <vt:lpstr>LLM JSON契约</vt:lpstr>
      <vt:lpstr>用户功能验收清单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易知辞.</cp:lastModifiedBy>
  <dcterms:created xsi:type="dcterms:W3CDTF">2026-08-27T07:47:38Z</dcterms:created>
  <dcterms:modified xsi:type="dcterms:W3CDTF">2026-08-27T07:48:15Z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E2C2A23AF8904AD2A462D1FB3E90817C_12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