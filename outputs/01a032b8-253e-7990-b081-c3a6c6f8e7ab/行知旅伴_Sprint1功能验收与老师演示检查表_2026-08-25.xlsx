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396aeb6f2a4b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验收总览" sheetId="1" r:id="R725f8d4c59e04a5b"/>
    <x:sheet xmlns:r="http://schemas.openxmlformats.org/officeDocument/2006/relationships" name="24项功能检查" sheetId="2" r:id="R960dbe79822a4b59"/>
    <x:sheet xmlns:r="http://schemas.openxmlformats.org/officeDocument/2006/relationships" name="老师演示脚本" sheetId="3" r:id="R56c7ef6cedd3485a"/>
    <x:sheet xmlns:r="http://schemas.openxmlformats.org/officeDocument/2006/relationships" name="环境与故障排查" sheetId="4" r:id="Rf691f17db1ff49b7"/>
    <x:sheet xmlns:r="http://schemas.openxmlformats.org/officeDocument/2006/relationships" name="证据索引" sheetId="5" r:id="Rc40c4f2022114b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sz val="10"/>
      <x:color rgb="FF172B4D"/>
      <x:name val="Microsoft YaHei"/>
    </x:font>
    <x:font>
      <x:b/>
      <x:sz val="18"/>
      <x:color rgb="FFFFFFFF"/>
      <x:name val="Microsoft YaHei"/>
    </x:font>
    <x:font>
      <x:b/>
      <x:sz val="10"/>
      <x:color rgb="FF173A5E"/>
      <x:name val="Microsoft YaHei"/>
    </x:font>
    <x:font>
      <x:sz val="9"/>
      <x:color rgb="FF667085"/>
      <x:name val="Microsoft YaHei"/>
    </x:font>
    <x:font>
      <x:b/>
      <x:sz val="11"/>
      <x:color rgb="FFFFFFFF"/>
      <x:name val="Microsoft YaHei"/>
    </x:font>
    <x:font>
      <x:b/>
      <x:sz val="10"/>
      <x:color rgb="FF3A2A00"/>
      <x:name val="Microsoft YaHei"/>
    </x:font>
    <x:font>
      <x:b/>
      <x:sz val="10"/>
      <x:color rgb="FF226B36"/>
      <x:name val="Microsoft YaHei"/>
    </x:font>
    <x:font>
      <x:b/>
      <x:sz val="10"/>
      <x:color rgb="FFA61B1B"/>
      <x:name val="Microsoft YaHei"/>
    </x:font>
    <x:font>
      <x:b/>
      <x:sz val="11"/>
      <x:color rgb="FF7A4E00"/>
      <x:name val="Microsoft YaHei"/>
    </x:font>
    <x:font>
      <x:i/>
      <x:sz val="9"/>
      <x:color rgb="FF667085"/>
      <x:name val="Microsoft YaHei"/>
    </x:font>
    <x:font>
      <x:b/>
      <x:sz val="10"/>
      <x:color rgb="FF7A4E00"/>
      <x:name val="Microsoft YaHei"/>
    </x:font>
  </x:fonts>
  <x:fills count="10">
    <x:fill>
      <x:patternFill patternType="none"/>
    </x:fill>
    <x:fill>
      <x:patternFill patternType="gray125"/>
    </x:fill>
    <x:fill>
      <x:patternFill patternType="solid">
        <x:fgColor rgb="FF173A5E"/>
      </x:patternFill>
    </x:fill>
    <x:fill>
      <x:patternFill patternType="solid">
        <x:fgColor rgb="FFDCEAF5"/>
      </x:patternFill>
    </x:fill>
    <x:fill>
      <x:patternFill patternType="solid">
        <x:fgColor rgb="FF1F5A8A"/>
      </x:patternFill>
    </x:fill>
    <x:fill>
      <x:patternFill patternType="solid">
        <x:fgColor rgb="FFF59E0B"/>
      </x:patternFill>
    </x:fill>
    <x:fill>
      <x:patternFill patternType="solid">
        <x:fgColor rgb="FFD9EAD3"/>
      </x:patternFill>
    </x:fill>
    <x:fill>
      <x:patternFill patternType="solid">
        <x:fgColor rgb="FFF4CCCC"/>
      </x:patternFill>
    </x:fill>
    <x:fill>
      <x:patternFill patternType="solid">
        <x:fgColor rgb="FFFFF8E7"/>
      </x:patternFill>
    </x:fill>
    <x:fill>
      <x:patternFill patternType="solid">
        <x:fgColor rgb="FFF3F7FA"/>
      </x:patternFill>
    </x:fill>
  </x:fills>
  <x:borders count="10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medium">
        <x:color rgb="FFF59E0B"/>
      </x:left>
      <x:top style="medium">
        <x:color rgb="FFF59E0B"/>
      </x:top>
    </x:border>
    <x:border>
      <x:top style="medium">
        <x:color rgb="FFF59E0B"/>
      </x:top>
    </x:border>
    <x:border>
      <x:right style="medium">
        <x:color rgb="FFF59E0B"/>
      </x:right>
      <x:top style="medium">
        <x:color rgb="FFF59E0B"/>
      </x:top>
    </x:border>
    <x:border>
      <x:left style="medium">
        <x:color rgb="FFF59E0B"/>
      </x:left>
    </x:border>
    <x:border>
      <x:right style="medium">
        <x:color rgb="FFF59E0B"/>
      </x:right>
    </x:border>
    <x:border>
      <x:left style="medium">
        <x:color rgb="FFF59E0B"/>
      </x:left>
      <x:bottom style="medium">
        <x:color rgb="FFF59E0B"/>
      </x:bottom>
    </x:border>
    <x:border>
      <x:bottom style="medium">
        <x:color rgb="FFF59E0B"/>
      </x:bottom>
    </x:border>
    <x:border>
      <x:right style="medium">
        <x:color rgb="FFF59E0B"/>
      </x:right>
      <x:bottom style="medium">
        <x:color rgb="FFF59E0B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6" fillId="5" borderId="0" xfId="0" applyNumberFormat="1" applyFont="1" applyFill="1" applyBorder="1" applyAlignment="1">
      <x:alignment horizontal="center" vertical="center" wrapText="1"/>
    </x:xf>
    <x:xf numFmtId="0" fontId="6" fillId="5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6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vertical="top" wrapText="1"/>
    </x:xf>
    <x:xf numFmtId="0" fontId="1" fillId="7" borderId="1" xfId="0" applyNumberFormat="1" applyFont="1" applyFill="1" applyBorder="1" applyAlignment="1">
      <x:alignment vertical="top" wrapText="1"/>
    </x:xf>
    <x:xf numFmtId="0" fontId="8" fillId="7" borderId="1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center"/>
    </x:xf>
    <x:xf numFmtId="0" fontId="9" fillId="8" borderId="0" xfId="0" applyNumberFormat="1" applyFont="1" applyFill="1" applyBorder="1" applyAlignment="1">
      <x:alignment vertical="center"/>
    </x:xf>
    <x:xf numFmtId="0" fontId="9" fillId="8" borderId="0" xfId="0" applyNumberFormat="1" applyFont="1" applyFill="1" applyBorder="1" applyAlignment="1">
      <x:alignment vertical="center" wrapText="1"/>
    </x:xf>
    <x:xf numFmtId="0" fontId="9" fillId="8" borderId="2" xfId="0" applyNumberFormat="1" applyFont="1" applyFill="1" applyBorder="1" applyAlignment="1">
      <x:alignment vertical="center" wrapText="1"/>
    </x:xf>
    <x:xf numFmtId="0" fontId="9" fillId="8" borderId="3" xfId="0" applyNumberFormat="1" applyFont="1" applyFill="1" applyBorder="1" applyAlignment="1">
      <x:alignment vertical="center" wrapText="1"/>
    </x:xf>
    <x:xf numFmtId="0" fontId="9" fillId="8" borderId="4" xfId="0" applyNumberFormat="1" applyFont="1" applyFill="1" applyBorder="1" applyAlignment="1">
      <x:alignment vertical="center" wrapText="1"/>
    </x:xf>
    <x:xf numFmtId="0" fontId="9" fillId="8" borderId="5" xfId="0" applyNumberFormat="1" applyFont="1" applyFill="1" applyBorder="1" applyAlignment="1">
      <x:alignment vertical="center" wrapText="1"/>
    </x:xf>
    <x:xf numFmtId="0" fontId="9" fillId="8" borderId="6" xfId="0" applyNumberFormat="1" applyFont="1" applyFill="1" applyBorder="1" applyAlignment="1">
      <x:alignment vertical="center" wrapText="1"/>
    </x:xf>
    <x:xf numFmtId="0" fontId="9" fillId="8" borderId="7" xfId="0" applyNumberFormat="1" applyFont="1" applyFill="1" applyBorder="1" applyAlignment="1">
      <x:alignment vertical="center" wrapText="1"/>
    </x:xf>
    <x:xf numFmtId="0" fontId="9" fillId="8" borderId="8" xfId="0" applyNumberFormat="1" applyFont="1" applyFill="1" applyBorder="1" applyAlignment="1">
      <x:alignment vertical="center" wrapText="1"/>
    </x:xf>
    <x:xf numFmtId="0" fontId="9" fillId="8" borderId="9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vertical="center"/>
    </x:xf>
    <x:xf numFmtId="0" fontId="10" fillId="9" borderId="0" xfId="0" applyNumberFormat="1" applyFont="1" applyFill="1" applyBorder="1" applyAlignment="1">
      <x:alignment vertical="center"/>
    </x:xf>
    <x:xf numFmtId="0" fontId="10" fillId="9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horizontal="center" vertical="top" wrapText="1"/>
    </x:xf>
    <x:xf numFmtId="0" fontId="11" fillId="8" borderId="0" xfId="0" applyNumberFormat="1" applyFont="1" applyFill="1" applyBorder="1" applyAlignment="1">
      <x:alignment vertical="center"/>
    </x:xf>
    <x:xf numFmtId="0" fontId="11" fillId="8" borderId="0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7">
    <x:dxf>
      <x:font>
        <x:b/>
        <x:color rgb="FF226B36"/>
      </x:font>
      <x:fill>
        <x:patternFill patternType="solid">
          <x:bgColor rgb="FFD9EAD3"/>
        </x:patternFill>
      </x:fill>
    </x:dxf>
    <x:dxf>
      <x:font>
        <x:b/>
        <x:color rgb="FF8A5A00"/>
      </x:font>
      <x:fill>
        <x:patternFill patternType="solid">
          <x:bgColor rgb="FFFFF2CC"/>
        </x:patternFill>
      </x:fill>
    </x:dxf>
    <x:dxf>
      <x:font>
        <x:b/>
        <x:color rgb="FFA61B1B"/>
      </x:font>
      <x:fill>
        <x:patternFill patternType="solid">
          <x:bgColor rgb="FFF4CCCC"/>
        </x:patternFill>
      </x:fill>
    </x:dxf>
    <x:dxf>
      <x:font>
        <x:b/>
        <x:color rgb="FF226B36"/>
      </x:font>
      <x:fill>
        <x:patternFill patternType="solid">
          <x:bgColor rgb="FFD9EAD3"/>
        </x:patternFill>
      </x:fill>
    </x:dxf>
    <x:dxf>
      <x:font>
        <x:b/>
        <x:color rgb="FF8A5A00"/>
      </x:font>
      <x:fill>
        <x:patternFill patternType="solid">
          <x:bgColor rgb="FFFFF2CC"/>
        </x:patternFill>
      </x:fill>
    </x:dxf>
    <x:dxf>
      <x:font>
        <x:b/>
        <x:color rgb="FFA61B1B"/>
      </x:font>
      <x:fill>
        <x:patternFill patternType="solid">
          <x:bgColor rgb="FFF4CCCC"/>
        </x:patternFill>
      </x:fill>
    </x:dxf>
    <x:dxf>
      <x:font>
        <x:b/>
        <x:color rgb="FF226B36"/>
      </x:font>
      <x:fill>
        <x:patternFill patternType="solid">
          <x:bgColor rgb="FFD9EAD3"/>
        </x:patternFill>
      </x:fill>
    </x:dxf>
    <x:dxf>
      <x:font>
        <x:b/>
        <x:color rgb="FF8A5A00"/>
      </x:font>
      <x:fill>
        <x:patternFill patternType="solid">
          <x:bgColor rgb="FFFFF2CC"/>
        </x:patternFill>
      </x:fill>
    </x:dxf>
    <x:dxf>
      <x:font>
        <x:b/>
        <x:color rgb="FFA61B1B"/>
      </x:font>
      <x:fill>
        <x:patternFill patternType="solid">
          <x:bgColor rgb="FFF4CCCC"/>
        </x:patternFill>
      </x:fill>
    </x:dxf>
    <x:dxf>
      <x:font>
        <x:b/>
        <x:color rgb="FF226B36"/>
      </x:font>
      <x:fill>
        <x:patternFill patternType="solid">
          <x:bgColor rgb="FFD9EAD3"/>
        </x:patternFill>
      </x:fill>
    </x:dxf>
    <x:dxf>
      <x:font>
        <x:b/>
        <x:color rgb="FFA61B1B"/>
      </x:font>
      <x:fill>
        <x:patternFill patternType="solid">
          <x:bgColor rgb="FFF4CCCC"/>
        </x:patternFill>
      </x:fill>
    </x:dxf>
    <x:dxf>
      <x:font>
        <x:color rgb="FF667085"/>
      </x:font>
      <x:fill>
        <x:patternFill patternType="solid">
          <x:bgColor rgb="FFF3F7FA"/>
        </x:patternFill>
      </x:fill>
    </x:dxf>
    <x:dxf>
      <x:font>
        <x:b/>
        <x:color rgb="FF226B36"/>
      </x:font>
      <x:fill>
        <x:patternFill patternType="solid">
          <x:bgColor rgb="FFD9EAD3"/>
        </x:patternFill>
      </x:fill>
    </x:dxf>
    <x:dxf>
      <x:font>
        <x:b/>
        <x:color rgb="FFA61B1B"/>
      </x:font>
      <x:fill>
        <x:patternFill patternType="solid">
          <x:bgColor rgb="FFF4CCCC"/>
        </x:patternFill>
      </x:fill>
    </x:dxf>
    <x:dxf>
      <x:font>
        <x:b/>
        <x:color rgb="FF226B36"/>
      </x:font>
      <x:fill>
        <x:patternFill patternType="solid">
          <x:bgColor rgb="FFD9EAD3"/>
        </x:patternFill>
      </x:fill>
    </x:dxf>
    <x:dxf>
      <x:font>
        <x:b/>
        <x:color rgb="FF8A5A00"/>
      </x:font>
      <x:fill>
        <x:patternFill patternType="solid">
          <x:bgColor rgb="FFFFF2CC"/>
        </x:patternFill>
      </x:fill>
    </x:dxf>
    <x:dxf>
      <x:font>
        <x:b/>
        <x:color rgb="FFA61B1B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4b79d77cb842c7" /><Relationship Type="http://schemas.openxmlformats.org/officeDocument/2006/relationships/theme" Target="/xl/theme/theme1.xml" Id="R38aa87d9a8d14607" /><Relationship Type="http://schemas.openxmlformats.org/officeDocument/2006/relationships/sharedStrings" Target="/xl/sharedStrings.xml" Id="R3189e7a957a9447c" /><Relationship Type="http://schemas.openxmlformats.org/officeDocument/2006/relationships/worksheet" Target="/xl/worksheets/sheet1.xml" Id="R725f8d4c59e04a5b" /><Relationship Type="http://schemas.openxmlformats.org/officeDocument/2006/relationships/worksheet" Target="/xl/worksheets/sheet2.xml" Id="R960dbe79822a4b59" /><Relationship Type="http://schemas.openxmlformats.org/officeDocument/2006/relationships/worksheet" Target="/xl/worksheets/sheet3.xml" Id="R56c7ef6cedd3485a" /><Relationship Type="http://schemas.openxmlformats.org/officeDocument/2006/relationships/worksheet" Target="/xl/worksheets/sheet4.xml" Id="Rf691f17db1ff49b7" /><Relationship Type="http://schemas.openxmlformats.org/officeDocument/2006/relationships/worksheet" Target="/xl/worksheets/sheet5.xml" Id="Rc40c4f2022114b8c" /></Relationships>
</file>

<file path=xl/tables/table1.xml><?xml version="1.0" encoding="utf-8"?>
<x:table xmlns:x="http://schemas.openxmlformats.org/spreadsheetml/2006/main" id="1" name="Sprint1TaskChecklist" displayName="Sprint1TaskChecklist" ref="A4:M28" headerRowCount="1" totalsRowCount="0" totalsRowShown="0">
  <x:tableColumns count="13">
    <x:tableColumn id="1" name="Task-ID"/>
    <x:tableColumn id="2" name="PBI / AC"/>
    <x:tableColumn id="3" name="负责人"/>
    <x:tableColumn id="4" name="功能任务"/>
    <x:tableColumn id="5" name="原表验收条件"/>
    <x:tableColumn id="6" name="功能状态"/>
    <x:tableColumn id="7" name="证据状态"/>
    <x:tableColumn id="8" name="老师演示操作"/>
    <x:tableColumn id="9" name="现场预期"/>
    <x:tableColumn id="10" name="代码/测试证据"/>
    <x:tableColumn id="11" name="当前缺口/风险"/>
    <x:tableColumn id="12" name="演示结果"/>
    <x:tableColumn id="13" name="老师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eacherDemoScript" displayName="TeacherDemoScript" ref="A5:H17" headerRowCount="1" totalsRowCount="0" totalsRowShown="0">
  <x:tableColumns count="8">
    <x:tableColumn id="1" name="序号"/>
    <x:tableColumn id="2" name="建议时间"/>
    <x:tableColumn id="3" name="页面/动作"/>
    <x:tableColumn id="4" name="讲解要点"/>
    <x:tableColumn id="5" name="对应 Task"/>
    <x:tableColumn id="6" name="正确标准"/>
    <x:tableColumn id="7" name="现场结果"/>
    <x:tableColumn id="8" name="备用证据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print1EvidenceIndex" displayName="Sprint1EvidenceIndex" ref="A5:G29" headerRowCount="1" totalsRowCount="0" totalsRowShown="0">
  <x:tableColumns count="7">
    <x:tableColumn id="1" name="Task"/>
    <x:tableColumn id="2" name="负责人"/>
    <x:tableColumn id="3" name="功能状态"/>
    <x:tableColumn id="4" name="主要证据位置"/>
    <x:tableColumn id="5" name="现场用途"/>
    <x:tableColumn id="6" name="证据完备度"/>
    <x:tableColumn id="7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43d862f13f24b8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4f1b642923841b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1e754d6bcde0488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0" hidden="0" customWidth="1"/>
    <x:col min="5" max="5" width="14" hidden="0" customWidth="1"/>
    <x:col min="6" max="6" width="36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</x:cols>
  <x:sheetData>
    <x:row r="1" ht="34" customHeight="1">
      <x:c r="A1" s="5" t="str">
        <x:v>行知旅伴 V2.3 · Sprint 1 功能验收与老师演示检查表</x:v>
      </x:c>
      <x:c r="B1" s="5" t="str">
        <x:v>行知旅伴 V2.3 · Sprint 1 功能验收与老师演示检查表</x:v>
      </x:c>
      <x:c r="C1" s="5" t="str">
        <x:v>行知旅伴 V2.3 · Sprint 1 功能验收与老师演示检查表</x:v>
      </x:c>
      <x:c r="D1" s="5" t="str">
        <x:v>行知旅伴 V2.3 · Sprint 1 功能验收与老师演示检查表</x:v>
      </x:c>
      <x:c r="E1" s="5" t="str">
        <x:v>行知旅伴 V2.3 · Sprint 1 功能验收与老师演示检查表</x:v>
      </x:c>
      <x:c r="F1" s="5" t="str">
        <x:v>行知旅伴 V2.3 · Sprint 1 功能验收与老师演示检查表</x:v>
      </x:c>
      <x:c r="G1" s="5" t="str">
        <x:v>行知旅伴 V2.3 · Sprint 1 功能验收与老师演示检查表</x:v>
      </x:c>
      <x:c r="H1" s="5" t="str">
        <x:v>行知旅伴 V2.3 · Sprint 1 功能验收与老师演示检查表</x:v>
      </x:c>
      <x:c r="I1" s="5" t="str">
        <x:v>行知旅伴 V2.3 · Sprint 1 功能验收与老师演示检查表</x:v>
      </x:c>
      <x:c r="J1" s="5" t="str">
        <x:v>行知旅伴 V2.3 · Sprint 1 功能验收与老师演示检查表</x:v>
      </x:c>
      <x:c r="K1" s="5" t="str">
        <x:v>行知旅伴 V2.3 · Sprint 1 功能验收与老师演示检查表</x:v>
      </x:c>
      <x:c r="L1" s="5" t="str">
        <x:v>行知旅伴 V2.3 · Sprint 1 功能验收与老师演示检查表</x:v>
      </x:c>
      <x:c r="M1" s="5" t="str">
        <x:v>行知旅伴 V2.3 · Sprint 1 功能验收与老师演示检查表</x:v>
      </x:c>
    </x:row>
    <x:row r="2" ht="34" customHeight="1">
      <x:c r="A2" s="5" t="str">
        <x:v>行知旅伴 V2.3 · Sprint 1 功能验收与老师演示检查表</x:v>
      </x:c>
      <x:c r="B2" s="5" t="str">
        <x:v>行知旅伴 V2.3 · Sprint 1 功能验收与老师演示检查表</x:v>
      </x:c>
      <x:c r="C2" s="5" t="str">
        <x:v>行知旅伴 V2.3 · Sprint 1 功能验收与老师演示检查表</x:v>
      </x:c>
      <x:c r="D2" s="5" t="str">
        <x:v>行知旅伴 V2.3 · Sprint 1 功能验收与老师演示检查表</x:v>
      </x:c>
      <x:c r="E2" s="5" t="str">
        <x:v>行知旅伴 V2.3 · Sprint 1 功能验收与老师演示检查表</x:v>
      </x:c>
      <x:c r="F2" s="5" t="str">
        <x:v>行知旅伴 V2.3 · Sprint 1 功能验收与老师演示检查表</x:v>
      </x:c>
      <x:c r="G2" s="5" t="str">
        <x:v>行知旅伴 V2.3 · Sprint 1 功能验收与老师演示检查表</x:v>
      </x:c>
      <x:c r="H2" s="5" t="str">
        <x:v>行知旅伴 V2.3 · Sprint 1 功能验收与老师演示检查表</x:v>
      </x:c>
      <x:c r="I2" s="5" t="str">
        <x:v>行知旅伴 V2.3 · Sprint 1 功能验收与老师演示检查表</x:v>
      </x:c>
      <x:c r="J2" s="5" t="str">
        <x:v>行知旅伴 V2.3 · Sprint 1 功能验收与老师演示检查表</x:v>
      </x:c>
      <x:c r="K2" s="5" t="str">
        <x:v>行知旅伴 V2.3 · Sprint 1 功能验收与老师演示检查表</x:v>
      </x:c>
      <x:c r="L2" s="5" t="str">
        <x:v>行知旅伴 V2.3 · Sprint 1 功能验收与老师演示检查表</x:v>
      </x:c>
      <x:c r="M2" s="5" t="str">
        <x:v>行知旅伴 V2.3 · Sprint 1 功能验收与老师演示检查表</x:v>
      </x:c>
    </x:row>
    <x:row r="3">
      <x:c r="A3" s="7" t="str">
        <x:v>核查日期：2026-08-25  |  远程分支：zq  |  提交：3b9321c39e79  |  结论：未全部严格关闭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</x:row>
    <x:row r="4">
      <x:c r="A4" s="9" t="str">
        <x:v>核查来源：https://gitee.com/wangjingbo222/2026lindashixun12zu/tree/zq ；需求基线：D:/微信文件/WeChat Files/wxid_lhj2qxo6ec1g22/FileStorage/File/2026-08/行知旅伴_V2.3_Sprint1待办列表_含负责人.xlsx</x:v>
      </x:c>
      <x:c r="B4" s="9"/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 ht="24" customHeight="1">
      <x:c r="A6" s="11" t="str">
        <x:v>严格验收统计</x:v>
      </x:c>
      <x:c r="B6" s="11" t="str">
        <x:v>严格验收统计</x:v>
      </x:c>
      <x:c r="C6" s="11" t="str">
        <x:v>严格验收统计</x:v>
      </x:c>
      <x:c r="D6" s="11" t="str">
        <x:v>严格验收统计</x:v>
      </x:c>
      <x:c r="E6" s="11" t="str">
        <x:v>严格验收统计</x:v>
      </x:c>
      <x:c r="F6" s="11" t="str">
        <x:v>严格验收统计</x:v>
      </x:c>
      <x:c r="G6" s="2"/>
      <x:c r="H6" s="2"/>
      <x:c r="I6" s="2"/>
      <x:c r="J6" s="2"/>
      <x:c r="K6" s="2"/>
      <x:c r="L6" s="2"/>
      <x:c r="M6" s="2"/>
    </x:row>
    <x:row r="7" ht="32" customHeight="1">
      <x:c r="A7" s="16" t="str">
        <x:v>指标</x:v>
      </x:c>
      <x:c r="B7" s="16" t="str">
        <x:v>数量/结论</x:v>
      </x:c>
      <x:c r="C7" s="2"/>
      <x:c r="D7" s="16" t="str">
        <x:v>核查项</x:v>
      </x:c>
      <x:c r="E7" s="16" t="str">
        <x:v>结果</x:v>
      </x:c>
      <x:c r="F7" s="16" t="str">
        <x:v>说明</x:v>
      </x:c>
      <x:c r="G7" s="2"/>
      <x:c r="H7" s="2"/>
      <x:c r="I7" s="2"/>
      <x:c r="J7" s="2"/>
      <x:c r="K7" s="2"/>
      <x:c r="L7" s="2"/>
      <x:c r="M7" s="2"/>
    </x:row>
    <x:row r="8">
      <x:c r="A8" s="19" t="str">
        <x:v>Sprint 1 Task 总数</x:v>
      </x:c>
      <x:c r="B8" s="19" t="n">
        <x:f>COUNTA('24项功能检查'!$A$5:$A$28)</x:f>
        <x:v>24</x:v>
      </x:c>
      <x:c r="C8" s="2"/>
      <x:c r="D8" s="19" t="str">
        <x:v>后端自动化</x:v>
      </x:c>
      <x:c r="E8" s="21" t="str">
        <x:v>通过</x:v>
      </x:c>
      <x:c r="F8" s="19" t="str">
        <x:v>193 passed / 14.16s</x:v>
      </x:c>
      <x:c r="G8" s="2"/>
      <x:c r="H8" s="2"/>
      <x:c r="I8" s="2"/>
      <x:c r="J8" s="2"/>
      <x:c r="K8" s="2"/>
      <x:c r="L8" s="2"/>
      <x:c r="M8" s="2"/>
    </x:row>
    <x:row r="9">
      <x:c r="A9" s="19" t="str">
        <x:v>已实现</x:v>
      </x:c>
      <x:c r="B9" s="19" t="n">
        <x:f>COUNTIF('24项功能检查'!$F$5:$F$28,"已实现")</x:f>
        <x:v>18</x:v>
      </x:c>
      <x:c r="C9" s="2"/>
      <x:c r="D9" s="19" t="str">
        <x:v>前端 lint</x:v>
      </x:c>
      <x:c r="E9" s="21" t="str">
        <x:v>通过</x:v>
      </x:c>
      <x:c r="F9" s="19" t="str">
        <x:v>远程最新源码检查通过</x:v>
      </x:c>
      <x:c r="G9" s="2"/>
      <x:c r="H9" s="2"/>
      <x:c r="I9" s="2"/>
      <x:c r="J9" s="2"/>
      <x:c r="K9" s="2"/>
      <x:c r="L9" s="2"/>
      <x:c r="M9" s="2"/>
    </x:row>
    <x:row r="10">
      <x:c r="A10" s="19" t="str">
        <x:v>部分实现</x:v>
      </x:c>
      <x:c r="B10" s="19" t="n">
        <x:f>COUNTIF('24项功能检查'!$F$5:$F$28,"部分实现")</x:f>
        <x:v>4</x:v>
      </x:c>
      <x:c r="C10" s="2"/>
      <x:c r="D10" s="19" t="str">
        <x:v>前端 build</x:v>
      </x:c>
      <x:c r="E10" s="21" t="str">
        <x:v>通过</x:v>
      </x:c>
      <x:c r="F10" s="19" t="str">
        <x:v>1824 modules；326.83 kB</x:v>
      </x:c>
      <x:c r="G10" s="2"/>
      <x:c r="H10" s="2"/>
      <x:c r="I10" s="2"/>
      <x:c r="J10" s="2"/>
      <x:c r="K10" s="2"/>
      <x:c r="L10" s="2"/>
      <x:c r="M10" s="2"/>
    </x:row>
    <x:row r="11">
      <x:c r="A11" s="19" t="str">
        <x:v>未完整实现</x:v>
      </x:c>
      <x:c r="B11" s="19" t="n">
        <x:f>COUNTIF('24项功能检查'!$F$5:$F$28,"未完整实现")</x:f>
        <x:v>2</x:v>
      </x:c>
      <x:c r="C11" s="2"/>
      <x:c r="D11" s="19" t="str">
        <x:v>公网后端</x:v>
      </x:c>
      <x:c r="E11" s="21" t="str">
        <x:v>通过</x:v>
      </x:c>
      <x:c r="F11" s="19" t="str">
        <x:v>https://imagine-mp7v.onrender.com/health → 200</x:v>
      </x:c>
      <x:c r="G11" s="2"/>
      <x:c r="H11" s="2"/>
      <x:c r="I11" s="2"/>
      <x:c r="J11" s="2"/>
      <x:c r="K11" s="2"/>
      <x:c r="L11" s="2"/>
      <x:c r="M11" s="2"/>
    </x:row>
    <x:row r="12">
      <x:c r="A12" s="2"/>
      <x:c r="B12" s="2"/>
      <x:c r="C12" s="2"/>
      <x:c r="D12" s="19" t="str">
        <x:v>公网前端</x:v>
      </x:c>
      <x:c r="E12" s="23" t="str">
        <x:v>失败</x:v>
      </x:c>
      <x:c r="F12" s="19" t="str">
        <x:v>https://xingzhi-travel-web.onrender.com/ → 404</x:v>
      </x:c>
      <x:c r="G12" s="2"/>
      <x:c r="H12" s="2"/>
      <x:c r="I12" s="2"/>
      <x:c r="J12" s="2"/>
      <x:c r="K12" s="2"/>
      <x:c r="L12" s="2"/>
      <x:c r="M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</x:row>
    <x:row r="14" ht="24" customHeight="1">
      <x:c r="A14" s="11" t="str">
        <x:v>严格结论与待关闭项</x:v>
      </x:c>
      <x:c r="B14" s="11" t="str">
        <x:v>严格结论与待关闭项</x:v>
      </x:c>
      <x:c r="C14" s="11" t="str">
        <x:v>严格结论与待关闭项</x:v>
      </x:c>
      <x:c r="D14" s="11" t="str">
        <x:v>严格结论与待关闭项</x:v>
      </x:c>
      <x:c r="E14" s="11" t="str">
        <x:v>严格结论与待关闭项</x:v>
      </x:c>
      <x:c r="F14" s="11" t="str">
        <x:v>严格结论与待关闭项</x:v>
      </x:c>
      <x:c r="G14" s="11" t="str">
        <x:v>严格结论与待关闭项</x:v>
      </x:c>
      <x:c r="H14" s="11" t="str">
        <x:v>严格结论与待关闭项</x:v>
      </x:c>
      <x:c r="I14" s="11" t="str">
        <x:v>严格结论与待关闭项</x:v>
      </x:c>
      <x:c r="J14" s="11" t="str">
        <x:v>严格结论与待关闭项</x:v>
      </x:c>
      <x:c r="K14" s="11" t="str">
        <x:v>严格结论与待关闭项</x:v>
      </x:c>
      <x:c r="L14" s="11" t="str">
        <x:v>严格结论与待关闭项</x:v>
      </x:c>
      <x:c r="M14" s="11" t="str">
        <x:v>严格结论与待关闭项</x:v>
      </x:c>
    </x:row>
    <x:row r="15">
      <x:c r="A15" s="27" t="str">
        <x:v>Sprint 1 目前不能按“全部完成”提交严格验收。24 项中：18 项已实现、4 项部分实现、2 项未完整实现。老师检查时可以完整演示本地主链，但应如实说明 T011、T017、T018、T022、T023、T024 仍有缺口；其中公网前端当前返回 404。</x:v>
      </x:c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9"/>
    </x:row>
    <x:row r="16">
      <x:c r="A16" s="30"/>
      <x:c r="B16" s="26"/>
      <x:c r="C16" s="26"/>
      <x:c r="D16" s="26"/>
      <x:c r="E16" s="26"/>
      <x:c r="F16" s="26"/>
      <x:c r="G16" s="26"/>
      <x:c r="H16" s="26"/>
      <x:c r="I16" s="26"/>
      <x:c r="J16" s="26"/>
      <x:c r="K16" s="26"/>
      <x:c r="L16" s="26"/>
      <x:c r="M16" s="31"/>
    </x:row>
    <x:row r="17">
      <x:c r="A17" s="32"/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  <x:c r="L17" s="33"/>
      <x:c r="M17" s="34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</x:row>
    <x:row r="19" ht="32" customHeight="1">
      <x:c r="A19" s="16" t="str">
        <x:v>Task</x:v>
      </x:c>
      <x:c r="B19" s="16" t="str">
        <x:v>负责人</x:v>
      </x:c>
      <x:c r="C19" s="16" t="str">
        <x:v>状态</x:v>
      </x:c>
      <x:c r="D19" s="16" t="str">
        <x:v>核心缺口</x:v>
      </x:c>
      <x:c r="E19" s="2"/>
      <x:c r="F19" s="2"/>
      <x:c r="G19" s="2"/>
      <x:c r="H19" s="2"/>
      <x:c r="I19" s="2"/>
      <x:c r="J19" s="2"/>
      <x:c r="K19" s="2"/>
      <x:c r="L19" s="2"/>
      <x:c r="M19" s="2"/>
    </x:row>
    <x:row r="20">
      <x:c r="A20" s="19" t="str">
        <x:v>S1-T011</x:v>
      </x:c>
      <x:c r="B20" s="19" t="str">
        <x:v>林粲涵</x:v>
      </x:c>
      <x:c r="C20" s="19" t="str">
        <x:v>部分实现</x:v>
      </x:c>
      <x:c r="D20" s="19" t="str">
        <x:v>生产规划未完整串联 T007/T008/T009；仍存在客户端写死 validationStatus=PASS。</x:v>
      </x:c>
      <x:c r="E20" s="2"/>
      <x:c r="F20" s="2"/>
      <x:c r="G20" s="2"/>
      <x:c r="H20" s="2"/>
      <x:c r="I20" s="2"/>
      <x:c r="J20" s="2"/>
      <x:c r="K20" s="2"/>
      <x:c r="L20" s="2"/>
      <x:c r="M20" s="2"/>
    </x:row>
    <x:row r="21">
      <x:c r="A21" s="19" t="str">
        <x:v>S1-T017</x:v>
      </x:c>
      <x:c r="B21" s="19" t="str">
        <x:v>陈梓元</x:v>
      </x:c>
      <x:c r="C21" s="19" t="str">
        <x:v>部分实现</x:v>
      </x:c>
      <x:c r="D21" s="19" t="str">
        <x:v>主要由前端重建后缀；缺服务端事件推导、锁定任务 100% 保留及“无可行解不生成 V2”回归证据。</x:v>
      </x:c>
      <x:c r="E21" s="2"/>
      <x:c r="F21" s="2"/>
      <x:c r="G21" s="2"/>
      <x:c r="H21" s="2"/>
      <x:c r="I21" s="2"/>
      <x:c r="J21" s="2"/>
      <x:c r="K21" s="2"/>
      <x:c r="L21" s="2"/>
      <x:c r="M21" s="2"/>
    </x:row>
    <x:row r="22">
      <x:c r="A22" s="19" t="str">
        <x:v>S1-T018</x:v>
      </x:c>
      <x:c r="B22" s="19" t="str">
        <x:v>林粲涵</x:v>
      </x:c>
      <x:c r="C22" s="19" t="str">
        <x:v>未完整实现</x:v>
      </x:c>
      <x:c r="D22" s="19" t="str">
        <x:v>缺目标函数、完整再校验、无可行解 ruleId/relaxations。</x:v>
      </x:c>
      <x:c r="E22" s="2"/>
      <x:c r="F22" s="2"/>
      <x:c r="G22" s="2"/>
      <x:c r="H22" s="2"/>
      <x:c r="I22" s="2"/>
      <x:c r="J22" s="2"/>
      <x:c r="K22" s="2"/>
      <x:c r="L22" s="2"/>
      <x:c r="M22" s="2"/>
    </x:row>
    <x:row r="23">
      <x:c r="A23" s="19" t="str">
        <x:v>S1-T022</x:v>
      </x:c>
      <x:c r="B23" s="19" t="str">
        <x:v>林粲涵</x:v>
      </x:c>
      <x:c r="C23" s="19" t="str">
        <x:v>未完整实现</x:v>
      </x:c>
      <x:c r="D23" s="19" t="str">
        <x:v>缺三条固定总结路径、事件/版本追溯自动化和证据包。</x:v>
      </x:c>
      <x:c r="E23" s="2"/>
      <x:c r="F23" s="2"/>
      <x:c r="G23" s="2"/>
      <x:c r="H23" s="2"/>
      <x:c r="I23" s="2"/>
      <x:c r="J23" s="2"/>
      <x:c r="K23" s="2"/>
      <x:c r="L23" s="2"/>
      <x:c r="M23" s="2"/>
    </x:row>
    <x:row r="24">
      <x:c r="A24" s="19" t="str">
        <x:v>S1-T023</x:v>
      </x:c>
      <x:c r="B24" s="19" t="str">
        <x:v>王敬博</x:v>
      </x:c>
      <x:c r="C24" s="19" t="str">
        <x:v>部分实现</x:v>
      </x:c>
      <x:c r="D24" s="19" t="str">
        <x:v>https://xingzhi-travel-web.onrender.com/ 当前 404；缺公网前端、截图与实际部署流水线证据。</x:v>
      </x:c>
      <x:c r="E24" s="2"/>
      <x:c r="F24" s="2"/>
      <x:c r="G24" s="2"/>
      <x:c r="H24" s="2"/>
      <x:c r="I24" s="2"/>
      <x:c r="J24" s="2"/>
      <x:c r="K24" s="2"/>
      <x:c r="L24" s="2"/>
      <x:c r="M24" s="2"/>
    </x:row>
    <x:row r="25">
      <x:c r="A25" s="19" t="str">
        <x:v>S1-T024</x:v>
      </x:c>
      <x:c r="B25" s="19" t="str">
        <x:v>陈梓元</x:v>
      </x:c>
      <x:c r="C25" s="19" t="str">
        <x:v>部分实现</x:v>
      </x:c>
      <x:c r="D25" s="19" t="str">
        <x:v>受 T018/T022/T023 影响；公网前端不可用，未证明 90 秒内稳定完成。</x:v>
      </x:c>
      <x:c r="E25" s="2"/>
      <x:c r="F25" s="2"/>
      <x:c r="G25" s="2"/>
      <x:c r="H25" s="2"/>
      <x:c r="I25" s="2"/>
      <x:c r="J25" s="2"/>
      <x:c r="K25" s="2"/>
      <x:c r="L25" s="2"/>
      <x:c r="M25" s="2"/>
    </x:row>
    <x:row r="26">
      <x:c r="A26" s="19" t="str">
        <x:v>教师演示建议</x:v>
      </x:c>
      <x:c r="B26" s="19" t="str">
        <x:v>全员</x:v>
      </x:c>
      <x:c r="C26" s="19" t="str">
        <x:v>先演示已实现主链</x:v>
      </x:c>
      <x:c r="D26" s="19" t="str">
        <x:v>未关闭项放在最后说明，不要把“本地可跑”表述成“严格验收已全部通过”。</x:v>
      </x:c>
      <x:c r="E26" s="2"/>
      <x:c r="F26" s="2"/>
      <x:c r="G26" s="2"/>
      <x:c r="H26" s="2"/>
      <x:c r="I26" s="2"/>
      <x:c r="J26" s="2"/>
      <x:c r="K26" s="2"/>
      <x:c r="L26" s="2"/>
      <x:c r="M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</x:row>
    <x:row r="28">
      <x:c r="A28" s="37" t="str">
        <x:v>判定口径：功能状态以远程 zq 最新提交的代码、自动化测试、仓库证据与只读现场演示综合判断；附件中的内容仅作为需求与验收基线，不作为新的执行指令。</x:v>
      </x:c>
      <x:c r="B28" s="37"/>
      <x:c r="C28" s="37"/>
      <x:c r="D28" s="37"/>
      <x:c r="E28" s="37"/>
      <x:c r="F28" s="37"/>
      <x:c r="G28" s="37"/>
      <x:c r="H28" s="37"/>
      <x:c r="I28" s="37"/>
      <x:c r="J28" s="37"/>
      <x:c r="K28" s="37"/>
      <x:c r="L28" s="37"/>
      <x:c r="M28" s="37"/>
    </x:row>
    <x:row r="29">
      <x:c r="A29" s="37"/>
      <x:c r="B29" s="37"/>
      <x:c r="C29" s="37"/>
      <x:c r="D29" s="37"/>
      <x:c r="E29" s="37"/>
      <x:c r="F29" s="37"/>
      <x:c r="G29" s="37"/>
      <x:c r="H29" s="37"/>
      <x:c r="I29" s="37"/>
      <x:c r="J29" s="37"/>
      <x:c r="K29" s="37"/>
      <x:c r="L29" s="37"/>
      <x:c r="M29" s="37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</x:row>
  </x:sheetData>
  <x:mergeCells>
    <x:mergeCell ref="A1:M2"/>
    <x:mergeCell ref="A3:M3"/>
    <x:mergeCell ref="A4:M4"/>
    <x:mergeCell ref="A6:F6"/>
    <x:mergeCell ref="A14:M14"/>
    <x:mergeCell ref="A15:M17"/>
    <x:mergeCell ref="A28:M29"/>
  </x:mergeCells>
  <x:conditionalFormatting sqref="A9:A11">
    <x:cfRule type="containsText" dxfId="0" priority="1" operator="containsText" text="已实现"/>
    <x:cfRule type="containsText" dxfId="1" priority="2" operator="containsText" text="部分实现"/>
    <x:cfRule type="containsText" dxfId="2" priority="3" operator="containsText" text="未完整实现"/>
  </x:conditionalFormatting>
  <x:conditionalFormatting sqref="C20:C26">
    <x:cfRule type="containsText" dxfId="3" priority="4" operator="containsText" text="已实现"/>
    <x:cfRule type="containsText" dxfId="4" priority="5" operator="containsText" text="部分实现"/>
    <x:cfRule type="containsText" dxfId="5" priority="6" operator="containsText" text="未完整实现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0" hidden="0" customWidth="1"/>
    <x:col min="4" max="4" width="30" hidden="0" customWidth="1"/>
    <x:col min="5" max="5" width="42" hidden="0" customWidth="1"/>
    <x:col min="6" max="6" width="13" hidden="0" customWidth="1"/>
    <x:col min="7" max="7" width="22" hidden="0" customWidth="1"/>
    <x:col min="8" max="8" width="40" hidden="0" customWidth="1"/>
    <x:col min="9" max="9" width="38" hidden="0" customWidth="1"/>
    <x:col min="10" max="10" width="38" hidden="0" customWidth="1"/>
    <x:col min="11" max="11" width="42" hidden="0" customWidth="1"/>
    <x:col min="12" max="12" width="12" hidden="0" customWidth="1"/>
    <x:col min="13" max="13" width="22" hidden="0" customWidth="1"/>
  </x:cols>
  <x:sheetData>
    <x:row r="1" ht="34" customHeight="1">
      <x:c r="A1" s="5" t="str">
        <x:v>Sprint 1 · 24 项功能严格验收清单</x:v>
      </x:c>
      <x:c r="B1" s="5" t="str">
        <x:v>Sprint 1 · 24 项功能严格验收清单</x:v>
      </x:c>
      <x:c r="C1" s="5" t="str">
        <x:v>Sprint 1 · 24 项功能严格验收清单</x:v>
      </x:c>
      <x:c r="D1" s="5" t="str">
        <x:v>Sprint 1 · 24 项功能严格验收清单</x:v>
      </x:c>
      <x:c r="E1" s="5" t="str">
        <x:v>Sprint 1 · 24 项功能严格验收清单</x:v>
      </x:c>
      <x:c r="F1" s="5" t="str">
        <x:v>Sprint 1 · 24 项功能严格验收清单</x:v>
      </x:c>
      <x:c r="G1" s="5" t="str">
        <x:v>Sprint 1 · 24 项功能严格验收清单</x:v>
      </x:c>
      <x:c r="H1" s="5" t="str">
        <x:v>Sprint 1 · 24 项功能严格验收清单</x:v>
      </x:c>
      <x:c r="I1" s="5" t="str">
        <x:v>Sprint 1 · 24 项功能严格验收清单</x:v>
      </x:c>
      <x:c r="J1" s="5" t="str">
        <x:v>Sprint 1 · 24 项功能严格验收清单</x:v>
      </x:c>
      <x:c r="K1" s="5" t="str">
        <x:v>Sprint 1 · 24 项功能严格验收清单</x:v>
      </x:c>
      <x:c r="L1" s="5" t="str">
        <x:v>Sprint 1 · 24 项功能严格验收清单</x:v>
      </x:c>
      <x:c r="M1" s="5" t="str">
        <x:v>Sprint 1 · 24 项功能严格验收清单</x:v>
      </x:c>
    </x:row>
    <x:row r="2" ht="34" customHeight="1">
      <x:c r="A2" s="5" t="str">
        <x:v>Sprint 1 · 24 项功能严格验收清单</x:v>
      </x:c>
      <x:c r="B2" s="5" t="str">
        <x:v>Sprint 1 · 24 项功能严格验收清单</x:v>
      </x:c>
      <x:c r="C2" s="5" t="str">
        <x:v>Sprint 1 · 24 项功能严格验收清单</x:v>
      </x:c>
      <x:c r="D2" s="5" t="str">
        <x:v>Sprint 1 · 24 项功能严格验收清单</x:v>
      </x:c>
      <x:c r="E2" s="5" t="str">
        <x:v>Sprint 1 · 24 项功能严格验收清单</x:v>
      </x:c>
      <x:c r="F2" s="5" t="str">
        <x:v>Sprint 1 · 24 项功能严格验收清单</x:v>
      </x:c>
      <x:c r="G2" s="5" t="str">
        <x:v>Sprint 1 · 24 项功能严格验收清单</x:v>
      </x:c>
      <x:c r="H2" s="5" t="str">
        <x:v>Sprint 1 · 24 项功能严格验收清单</x:v>
      </x:c>
      <x:c r="I2" s="5" t="str">
        <x:v>Sprint 1 · 24 项功能严格验收清单</x:v>
      </x:c>
      <x:c r="J2" s="5" t="str">
        <x:v>Sprint 1 · 24 项功能严格验收清单</x:v>
      </x:c>
      <x:c r="K2" s="5" t="str">
        <x:v>Sprint 1 · 24 项功能严格验收清单</x:v>
      </x:c>
      <x:c r="L2" s="5" t="str">
        <x:v>Sprint 1 · 24 项功能严格验收清单</x:v>
      </x:c>
      <x:c r="M2" s="5" t="str">
        <x:v>Sprint 1 · 24 项功能严格验收清单</x:v>
      </x:c>
    </x:row>
    <x:row r="3">
      <x:c r="A3" s="7" t="str">
        <x:v>现场用法：按“老师演示操作”执行，在“演示结果”下拉框选择结果；红/黄项不能对老师宣称已严格关闭。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</x:row>
    <x:row r="4" ht="32" customHeight="1">
      <x:c r="A4" s="16" t="str">
        <x:v>Task-ID</x:v>
      </x:c>
      <x:c r="B4" s="16" t="str">
        <x:v>PBI / AC</x:v>
      </x:c>
      <x:c r="C4" s="16" t="str">
        <x:v>负责人</x:v>
      </x:c>
      <x:c r="D4" s="16" t="str">
        <x:v>功能任务</x:v>
      </x:c>
      <x:c r="E4" s="16" t="str">
        <x:v>原表验收条件</x:v>
      </x:c>
      <x:c r="F4" s="16" t="str">
        <x:v>功能状态</x:v>
      </x:c>
      <x:c r="G4" s="16" t="str">
        <x:v>证据状态</x:v>
      </x:c>
      <x:c r="H4" s="16" t="str">
        <x:v>老师演示操作</x:v>
      </x:c>
      <x:c r="I4" s="16" t="str">
        <x:v>现场预期</x:v>
      </x:c>
      <x:c r="J4" s="16" t="str">
        <x:v>代码/测试证据</x:v>
      </x:c>
      <x:c r="K4" s="16" t="str">
        <x:v>当前缺口/风险</x:v>
      </x:c>
      <x:c r="L4" s="16" t="str">
        <x:v>演示结果</x:v>
      </x:c>
      <x:c r="M4" s="16" t="str">
        <x:v>老师备注</x:v>
      </x:c>
    </x:row>
    <x:row r="5" ht="78" customHeight="1">
      <x:c r="A5" s="38" t="str">
        <x:v>S1-T001</x:v>
      </x:c>
      <x:c r="B5" s="38" t="str">
        <x:v>PBI-01-A / AC-01-A</x:v>
      </x:c>
      <x:c r="C5" s="38" t="str">
        <x:v>陈梓元</x:v>
      </x:c>
      <x:c r="D5" s="19" t="str">
        <x:v>定义 CityContext、Trip、participants[0] 与 days[0] 的统一 Schema，并接入结构化校验。</x:v>
      </x:c>
      <x:c r="E5" s="19" t="str">
        <x:v>Given 北京/上海/成都 3 组合法输入；When 校验 Schema；Then 全部通过且 cityCode、participants[0]、days[0] 可恢复；缺字段返回字段级错误，代码中无北京硬编码。</x:v>
      </x:c>
      <x:c r="F5" s="38" t="str">
        <x:v>已实现</x:v>
      </x:c>
      <x:c r="G5" s="38" t="str">
        <x:v>自动化与接口证据齐全</x:v>
      </x:c>
      <x:c r="H5" s="19" t="str">
        <x:v>运行 Trip/CityContext Schema 测试，展示 3 城参数化与字段级错误。</x:v>
      </x:c>
      <x:c r="I5" s="19" t="str">
        <x:v>北京/上海/成都均可校验；错误带 path/code/message。</x:v>
      </x:c>
      <x:c r="J5" s="19" t="str">
        <x:v>app/schemas/trip.py；backend/tests/test_trip_schema.py</x:v>
      </x:c>
      <x:c r="K5" s="19" t="str">
        <x:v>无关键功能缺口。</x:v>
      </x:c>
      <x:c r="L5" s="38" t="str">
        <x:v>未演示</x:v>
      </x:c>
      <x:c r="M5" s="19" t="str"/>
    </x:row>
    <x:row r="6" ht="78" customHeight="1">
      <x:c r="A6" s="38" t="str">
        <x:v>S1-T002</x:v>
      </x:c>
      <x:c r="B6" s="38" t="str">
        <x:v>PBI-01-A / AC-01-A</x:v>
      </x:c>
      <x:c r="C6" s="38" t="str">
        <x:v>张琪</x:v>
      </x:c>
      <x:c r="D6" s="19" t="str">
        <x:v>实现自然语言日期、时间、预算、兴趣与地点限制的解析及歧义确认清单。</x:v>
      </x:c>
      <x:c r="E6" s="19" t="str">
        <x:v>Given 5 组含缺失/歧义的自然语言需求；When 解析；Then 明确值写入统一模型，缺失/歧义逐项进入确认清单，未经确认不得进入规划。</x:v>
      </x:c>
      <x:c r="F6" s="38" t="str">
        <x:v>已实现</x:v>
      </x:c>
      <x:c r="G6" s="38" t="str">
        <x:v>5 组 Fixture 与页面证据齐全</x:v>
      </x:c>
      <x:c r="H6" s="19" t="str">
        <x:v>在规划页删除预算或输入模糊日期，提交后查看逐项确认清单；未确认前尝试规划。</x:v>
      </x:c>
      <x:c r="I6" s="19" t="str">
        <x:v>日期/时间/预算/兴趣/地点限制写入 Trip；确认未完成时规划被禁用。</x:v>
      </x:c>
      <x:c r="J6" s="19" t="str">
        <x:v>app/api/trip_parse.py；backend/tests/test_trip_parse_api.py；docs/testing/evidence/s1_t002_*</x:v>
      </x:c>
      <x:c r="K6" s="19" t="str">
        <x:v>现场演示后需恢复完整输入再继续主流程。</x:v>
      </x:c>
      <x:c r="L6" s="38" t="str">
        <x:v>未演示</x:v>
      </x:c>
      <x:c r="M6" s="19" t="str"/>
    </x:row>
    <x:row r="7" ht="78" customHeight="1">
      <x:c r="A7" s="38" t="str">
        <x:v>S1-T003</x:v>
      </x:c>
      <x:c r="B7" s="38" t="str">
        <x:v>PBI-01-B / AC-01-B</x:v>
      </x:c>
      <x:c r="C7" s="38" t="str">
        <x:v>林粲涵</x:v>
      </x:c>
      <x:c r="D7" s="19" t="str">
        <x:v>建立 AssistanceProfile 字段模型、普通/亲子/低体力/行动辅助 Beta 预设与 DRAFT 状态。</x:v>
      </x:c>
      <x:c r="E7" s="19" t="str">
        <x:v>Given 4 类预设；When 新建单人档案；Then childAge、walkLimits、maxTransfers、restInterval、napWindow、avoidStairs 可序列化，participants 长度为 1，状态为 DRAFT。</x:v>
      </x:c>
      <x:c r="F7" s="38" t="str">
        <x:v>已实现</x:v>
      </x:c>
      <x:c r="G7" s="38" t="str">
        <x:v>模型与测试齐全</x:v>
      </x:c>
      <x:c r="H7" s="19" t="str">
        <x:v>依次切换老年/轮椅/婴幼儿/视障预设，查看字段与状态。</x:v>
      </x:c>
      <x:c r="I7" s="19" t="str">
        <x:v>四类预设可加载，新建或编辑后状态为 DRAFT。</x:v>
      </x:c>
      <x:c r="J7" s="19" t="str">
        <x:v>app/schemas/assistance_profile.py；backend/tests/test_assistance_profile.py</x:v>
      </x:c>
      <x:c r="K7" s="19" t="str">
        <x:v>无关键功能缺口。</x:v>
      </x:c>
      <x:c r="L7" s="38" t="str">
        <x:v>未演示</x:v>
      </x:c>
      <x:c r="M7" s="19" t="str"/>
    </x:row>
    <x:row r="8" ht="78" customHeight="1">
      <x:c r="A8" s="38" t="str">
        <x:v>S1-T004</x:v>
      </x:c>
      <x:c r="B8" s="38" t="str">
        <x:v>PBI-01-B / AC-01-B</x:v>
      </x:c>
      <x:c r="C8" s="38" t="str">
        <x:v>王敬博</x:v>
      </x:c>
      <x:c r="D8" s="19" t="str">
        <x:v>完成约束确认页与状态守卫：可编辑、回退 DRAFT、全量确认后进入 CONSTRAINT_CONFIRMED。</x:v>
      </x:c>
      <x:c r="E8" s="19" t="str">
        <x:v>Given 一份 Profile；When 修改任一字段；Then 状态回到 DRAFT；When 必填项全部确认；Then 仅一次进入 CONSTRAINT_CONFIRMED；375px 与桌面端无横向滚动。</x:v>
      </x:c>
      <x:c r="F8" s="38" t="str">
        <x:v>已实现</x:v>
      </x:c>
      <x:c r="G8" s="38" t="str">
        <x:v>状态测试齐全；375px 截图待补</x:v>
      </x:c>
      <x:c r="H8" s="19" t="str">
        <x:v>确认关怀约束，再修改任一关怀字段。</x:v>
      </x:c>
      <x:c r="I8" s="19" t="str">
        <x:v>DRAFT→CONSTRAINT_CONFIRMED；修改后回退 DRAFT；重复确认幂等。</x:v>
      </x:c>
      <x:c r="J8" s="19" t="str">
        <x:v>frontend/src/pages/PlanPage.tsx；backend/tests/test_constraint_confirmation_api.py</x:v>
      </x:c>
      <x:c r="K8" s="19" t="str">
        <x:v>建议课前补一张 375px 截图作为验收附件。</x:v>
      </x:c>
      <x:c r="L8" s="38" t="str">
        <x:v>未演示</x:v>
      </x:c>
      <x:c r="M8" s="19" t="str"/>
    </x:row>
    <x:row r="9" ht="78" customHeight="1">
      <x:c r="A9" s="38" t="str">
        <x:v>S1-T005</x:v>
      </x:c>
      <x:c r="B9" s="38" t="str">
        <x:v>PBI-02-A / AC-02-A</x:v>
      </x:c>
      <x:c r="C9" s="38" t="str">
        <x:v>张琪</x:v>
      </x:c>
      <x:c r="D9" s="19" t="str">
        <x:v>实现按 CityContext 调用地点、路线、价格 Provider 的适配层与两城联调。</x:v>
      </x:c>
      <x:c r="E9" s="19" t="str">
        <x:v>Given 北京与上海 CityContext；When 查询 POI/路线；Then 请求均带对应 cityCode，结果只含同城候选，并返回来源、fetchedAt 与事实状态。</x:v>
      </x:c>
      <x:c r="F9" s="38" t="str">
        <x:v>已实现</x:v>
      </x:c>
      <x:c r="G9" s="38" t="str">
        <x:v>两城联调与脱敏日志齐全</x:v>
      </x:c>
      <x:c r="H9" s="19" t="str">
        <x:v>生成北京真实计划；备用运行两城 Provider 集成测试并展示脱敏日志。</x:v>
      </x:c>
      <x:c r="I9" s="19" t="str">
        <x:v>北京携带 110000、上海携带 310000；结果不串城；有 sourceStatus/fetchedAt。</x:v>
      </x:c>
      <x:c r="J9" s="19" t="str">
        <x:v>app/providers/amap.py；backend/tests/test_amap_provider.py；docs/testing/evidence/s1_t005_provider_beijing_shanghai.json</x:v>
      </x:c>
      <x:c r="K9" s="19" t="str">
        <x:v>依赖个人 AMAP Web 服务 Key 与网络。</x:v>
      </x:c>
      <x:c r="L9" s="38" t="str">
        <x:v>未演示</x:v>
      </x:c>
      <x:c r="M9" s="19" t="str"/>
    </x:row>
    <x:row r="10" ht="78" customHeight="1">
      <x:c r="A10" s="38" t="str">
        <x:v>S1-T006</x:v>
      </x:c>
      <x:c r="B10" s="38" t="str">
        <x:v>PBI-02-A / AC-02-A</x:v>
      </x:c>
      <x:c r="C10" s="38" t="str">
        <x:v>陈梓元</x:v>
      </x:c>
      <x:c r="D10" s="19" t="str">
        <x:v>实现 cityCode 隔离缓存、来源归一化与 unknown 价格不按 0 元计入预算。</x:v>
      </x:c>
      <x:c r="E10" s="19" t="str">
        <x:v>Given 两城同名 POI 与在线失败；When 读写缓存并计算预算；Then 缓存键含 cityCode、不得串城；unknown 保持未知并触发预警，不参与已知金额求和。</x:v>
      </x:c>
      <x:c r="F10" s="38" t="str">
        <x:v>已实现</x:v>
      </x:c>
      <x:c r="G10" s="38" t="str">
        <x:v>缓存与规范化测试齐全</x:v>
      </x:c>
      <x:c r="H10" s="19" t="str">
        <x:v>展示同名 POI 的城市隔离测试与未知价格字段。</x:v>
      </x:c>
      <x:c r="I10" s="19" t="str">
        <x:v>缓存键包含 cityCode；线上失败不得串城；未知价格不写 0。</x:v>
      </x:c>
      <x:c r="J10" s="19" t="str">
        <x:v>app/cache/provider_cache.py；backend/tests/test_city_cache_isolation.py</x:v>
      </x:c>
      <x:c r="K10" s="19" t="str">
        <x:v>无关键功能缺口。</x:v>
      </x:c>
      <x:c r="L10" s="38" t="str">
        <x:v>未演示</x:v>
      </x:c>
      <x:c r="M10" s="19" t="str"/>
    </x:row>
    <x:row r="11" ht="78" customHeight="1">
      <x:c r="A11" s="38" t="str">
        <x:v>S1-T007</x:v>
      </x:c>
      <x:c r="B11" s="38" t="str">
        <x:v>PBI-03-A / AC-03-A</x:v>
      </x:c>
      <x:c r="C11" s="38" t="str">
        <x:v>陈梓元</x:v>
      </x:c>
      <x:c r="D11" s="19" t="str">
        <x:v>实现 AssistanceProfile→Constraint 的确定性关怀约束编译器。</x:v>
      </x:c>
      <x:c r="E11" s="19" t="str">
        <x:v>Given 4 类 Profile；When 编译两次；Then 步行、换乘、休息、午休、返程、避阶梯 Constraint 含 scope/hardness 且结果一致；非法字段停止规划。</x:v>
      </x:c>
      <x:c r="F11" s="38" t="str">
        <x:v>已实现</x:v>
      </x:c>
      <x:c r="G11" s="38" t="str">
        <x:v>确定性编译测试齐全</x:v>
      </x:c>
      <x:c r="H11" s="19" t="str">
        <x:v>运行关怀档案到 HARD/SOFT 约束的参数化测试。</x:v>
      </x:c>
      <x:c r="I11" s="19" t="str">
        <x:v>同一 Profile 重复编译结果一致，未知字段失败。</x:v>
      </x:c>
      <x:c r="J11" s="19" t="str">
        <x:v>app/services/assistance_constraint_compiler.py；backend/tests/test_assistance_constraint_compiler.py</x:v>
      </x:c>
      <x:c r="K11" s="19" t="str">
        <x:v>编译器本身已完成；与 T011 主编排的接线仍不完整。</x:v>
      </x:c>
      <x:c r="L11" s="38" t="str">
        <x:v>未演示</x:v>
      </x:c>
      <x:c r="M11" s="19" t="str"/>
    </x:row>
    <x:row r="12" ht="78" customHeight="1">
      <x:c r="A12" s="38" t="str">
        <x:v>S1-T008</x:v>
      </x:c>
      <x:c r="B12" s="38" t="str">
        <x:v>PBI-03-A / AC-03-A</x:v>
      </x:c>
      <x:c r="C12" s="38" t="str">
        <x:v>林粲涵</x:v>
      </x:c>
      <x:c r="D12" s="19" t="str">
        <x:v>把关怀编译器注册为 Agent 工具，并增加 LLM 不得改写确定性约束的契约测试。</x:v>
      </x:c>
      <x:c r="E12" s="19" t="str">
        <x:v>Given 已确认 Profile；When Agent 调用工具；Then 只接受编译器结构化结果；模型修改 scope/hardness 或漏字段时契约校验失败且不进入规划。</x:v>
      </x:c>
      <x:c r="F12" s="38" t="str">
        <x:v>已实现</x:v>
      </x:c>
      <x:c r="G12" s="38" t="str">
        <x:v>工具契约与防篡改测试齐全</x:v>
      </x:c>
      <x:c r="H12" s="19" t="str">
        <x:v>运行 Agent 工具契约测试，展示服务端重算字段。</x:v>
      </x:c>
      <x:c r="I12" s="19" t="str">
        <x:v>工具输入输出固定；关键字段不信任前端、由服务端重算。</x:v>
      </x:c>
      <x:c r="J12" s="19" t="str">
        <x:v>app/agent/tools.py；backend/tests/test_agent_tools_contract.py</x:v>
      </x:c>
      <x:c r="K12" s="19" t="str">
        <x:v>单工具已通过；统一规划主链仍见 T011 缺口。</x:v>
      </x:c>
      <x:c r="L12" s="38" t="str">
        <x:v>未演示</x:v>
      </x:c>
      <x:c r="M12" s="19" t="str"/>
    </x:row>
    <x:row r="13" ht="78" customHeight="1">
      <x:c r="A13" s="38" t="str">
        <x:v>S1-T009</x:v>
      </x:c>
      <x:c r="B13" s="38" t="str">
        <x:v>PBI-03-B / AC-03-B</x:v>
      </x:c>
      <x:c r="C13" s="38" t="str">
        <x:v>林粲涵</x:v>
      </x:c>
      <x:c r="D13" s="19" t="str">
        <x:v>基于路线 Fixture 实现阶梯、步行、换乘、休息间隔的风险判定与命中规则定位。</x:v>
      </x:c>
      <x:c r="E13" s="19" t="str">
        <x:v>Given 含阶梯、超步行、超换乘、缺休息的路线 Fixture；When 风险校验；Then 分别输出 FAIL 与命中的 routeSegment/ruleId；普通档案不误报行动辅助限制。</x:v>
      </x:c>
      <x:c r="F13" s="38" t="str">
        <x:v>已实现</x:v>
      </x:c>
      <x:c r="G13" s="38" t="str">
        <x:v>风险 Fixture 自动化齐全</x:v>
      </x:c>
      <x:c r="H13" s="19" t="str">
        <x:v>运行轮椅/老年/婴幼儿/视障 4 类路线风险测试。</x:v>
      </x:c>
      <x:c r="I13" s="19" t="str">
        <x:v>至少命中 5 类风险并返回 ruleId、证据和建议。</x:v>
      </x:c>
      <x:c r="J13" s="19" t="str">
        <x:v>app/services/route_risk.py；backend/tests/test_route_risk.py</x:v>
      </x:c>
      <x:c r="K13" s="19" t="str">
        <x:v>评估器本身已完成；规划主链调用仍见 T011。</x:v>
      </x:c>
      <x:c r="L13" s="38" t="str">
        <x:v>未演示</x:v>
      </x:c>
      <x:c r="M13" s="19" t="str"/>
    </x:row>
    <x:row r="14" ht="78" customHeight="1">
      <x:c r="A14" s="38" t="str">
        <x:v>S1-T010</x:v>
      </x:c>
      <x:c r="B14" s="38" t="str">
        <x:v>PBI-03-B / AC-03-B</x:v>
      </x:c>
      <x:c r="C14" s="38" t="str">
        <x:v>张琪</x:v>
      </x:c>
      <x:c r="D14" s="19" t="str">
        <x:v>接入真实路线快照并在计划工作台展示设施证据与 NEEDS_CONFIRMATION。</x:v>
      </x:c>
      <x:c r="E14" s="19" t="str">
        <x:v>Given 电梯/坡道/母婴室/无障碍入口缺少来源；When 展示路线校验；Then 明确标记 NEEDS_CONFIRMATION 与缺失项，不显示 PASS 或全国无障碍保证。</x:v>
      </x:c>
      <x:c r="F14" s="38" t="str">
        <x:v>已实现</x:v>
      </x:c>
      <x:c r="G14" s="38" t="str">
        <x:v>设施证据与降级证据齐全</x:v>
      </x:c>
      <x:c r="H14" s="19" t="str">
        <x:v>在计划工作台展开关怀/设施证据，查看来源、时间和待确认状态。</x:v>
      </x:c>
      <x:c r="I14" s="19" t="str">
        <x:v>真实路线与设施证据可追溯；证据不足时为 NEEDS_CONFIRMATION。</x:v>
      </x:c>
      <x:c r="J14" s="19" t="str">
        <x:v>app/providers/amap.py；backend/tests/test_route_facility_evidence.py；docs/testing/evidence/s1_t010_*</x:v>
      </x:c>
      <x:c r="K14" s="19" t="str">
        <x:v>部分设施事实依赖 Provider 数据，缺失时按设计降级。</x:v>
      </x:c>
      <x:c r="L14" s="38" t="str">
        <x:v>未演示</x:v>
      </x:c>
      <x:c r="M14" s="19" t="str"/>
    </x:row>
    <x:row r="15" ht="78" customHeight="1">
      <x:c r="A15" s="38" t="str">
        <x:v>S1-T011</x:v>
      </x:c>
      <x:c r="B15" s="38" t="str">
        <x:v>PBI-04-A / AC-04-A</x:v>
      </x:c>
      <x:c r="C15" s="38" t="str">
        <x:v>林粲涵</x:v>
      </x:c>
      <x:c r="D15" s="19" t="str">
        <x:v>实现只输出一个 3—4 任务候选的规划器与预算/时间/路线/关怀确定性校验。</x:v>
      </x:c>
      <x:c r="E15" s="19" t="str">
        <x:v>Given 同城事实与已确认约束；When 生成推荐；Then 仅一个含 3—4 任务的方案；全部硬约束 PASS 才返回，金额按整数分，unknown 独立预警。</x:v>
      </x:c>
      <x:c r="F15" s="38" t="str">
        <x:v>部分实现</x:v>
      </x:c>
      <x:c r="G15" s="38" t="str">
        <x:v>界面主链可用；统一后端编排证据不足</x:v>
      </x:c>
      <x:c r="H15" s="19" t="str">
        <x:v>生成单日 3–4 任务计划并展示时间窗、路线、预算和关怀摘要。</x:v>
      </x:c>
      <x:c r="I15" s="19" t="str">
        <x:v>现场能得到可执行计划；但严格验收还要求统一服务端编译、校验和风险评估。</x:v>
      </x:c>
      <x:c r="J15" s="19" t="str">
        <x:v>frontend/src/services/amapPlan.ts；frontend/src/pages/WorkspacePage.tsx</x:v>
      </x:c>
      <x:c r="K15" s="19" t="str">
        <x:v>生产规划未完整串联 T007/T008/T009；仍存在客户端写死 validationStatus=PASS。</x:v>
      </x:c>
      <x:c r="L15" s="38" t="str">
        <x:v>未演示</x:v>
      </x:c>
      <x:c r="M15" s="19" t="str"/>
    </x:row>
    <x:row r="16" ht="78" customHeight="1">
      <x:c r="A16" s="38" t="str">
        <x:v>S1-T012</x:v>
      </x:c>
      <x:c r="B16" s="38" t="str">
        <x:v>PBI-04-A / AC-04-A</x:v>
      </x:c>
      <x:c r="C16" s="38" t="str">
        <x:v>王敬博</x:v>
      </x:c>
      <x:c r="D16" s="19" t="str">
        <x:v>完成唯一推荐方案工作台，展示顺序、时间、停留、交通、费用、风险与确认入口。</x:v>
      </x:c>
      <x:c r="E16" s="19" t="str">
        <x:v>Given 一个已校验方案；When 打开工作台；Then 只出现一个主方案且 3—4 任务关键字段完整，unknown/NEEDS_CONFIRMATION 可见，不出现均衡/省钱双方案。</x:v>
      </x:c>
      <x:c r="F16" s="38" t="str">
        <x:v>已实现</x:v>
      </x:c>
      <x:c r="G16" s="38" t="str">
        <x:v>桌面功能完整；375px/组件证据待补</x:v>
      </x:c>
      <x:c r="H16" s="19" t="str">
        <x:v>展示唯一 CURRENT 计划、任务时间线、预算和关怀提示。</x:v>
      </x:c>
      <x:c r="I16" s="19" t="str">
        <x:v>工作台结构清晰且状态一致。</x:v>
      </x:c>
      <x:c r="J16" s="19" t="str">
        <x:v>frontend/src/pages/WorkspacePage.tsx；frontend/src/__tests__</x:v>
      </x:c>
      <x:c r="K16" s="19" t="str">
        <x:v>建议补 375px 无横向滚动截图和组件测试报告。</x:v>
      </x:c>
      <x:c r="L16" s="38" t="str">
        <x:v>未演示</x:v>
      </x:c>
      <x:c r="M16" s="19" t="str"/>
    </x:row>
    <x:row r="17" ht="78" customHeight="1">
      <x:c r="A17" s="38" t="str">
        <x:v>S1-T013</x:v>
      </x:c>
      <x:c r="B17" s="38" t="str">
        <x:v>PBI-04-B / AC-04-B</x:v>
      </x:c>
      <x:c r="C17" s="38" t="str">
        <x:v>张琪</x:v>
      </x:c>
      <x:c r="D17" s="19" t="str">
        <x:v>建立不可变 PlanVersion 持久化、约束/来源快照与同 Trip 唯一 CURRENT 约束。</x:v>
      </x:c>
      <x:c r="E17" s="19" t="str">
        <x:v>Given PROPOSED 计划；When 确认；Then 生成不可变 V1 与来源快照并成为唯一 CURRENT；再次写入同一版本被拒绝，刷新可恢复 cityCode、days[0]、任务与金额。</x:v>
      </x:c>
      <x:c r="F17" s="38" t="str">
        <x:v>已实现</x:v>
      </x:c>
      <x:c r="G17" s="38" t="str">
        <x:v>版本持久化与唯一 CURRENT 测试齐全</x:v>
      </x:c>
      <x:c r="H17" s="19" t="str">
        <x:v>接受 V1，刷新页面后查看版本和 CURRENT 状态。</x:v>
      </x:c>
      <x:c r="I17" s="19" t="str">
        <x:v>PlanVersion 不可变；同一 Trip 只有一个 CURRENT。</x:v>
      </x:c>
      <x:c r="J17" s="19" t="str">
        <x:v>app/api/plan_versions.py；backend/tests/test_plan_version_api.py；docs/testing/evidence/s1_t013_plan_v1_snapshot.json</x:v>
      </x:c>
      <x:c r="K17" s="19" t="str">
        <x:v>无关键功能缺口。</x:v>
      </x:c>
      <x:c r="L17" s="38" t="str">
        <x:v>未演示</x:v>
      </x:c>
      <x:c r="M17" s="19" t="str"/>
    </x:row>
    <x:row r="18" ht="78" customHeight="1">
      <x:c r="A18" s="38" t="str">
        <x:v>S1-T014</x:v>
      </x:c>
      <x:c r="B18" s="38" t="str">
        <x:v>PBI-04-B / AC-04-B</x:v>
      </x:c>
      <x:c r="C18" s="38" t="str">
        <x:v>陈梓元</x:v>
      </x:c>
      <x:c r="D18" s="19" t="str">
        <x:v>实现 PlanVersion 状态守卫和恢复接口，拒绝 PROPOSED 执行及非法状态跳转。</x:v>
      </x:c>
      <x:c r="E18" s="19" t="str">
        <x:v>Given PROPOSED/CURRENT/SUPERSEDED/REJECTED 状态；When 发起执行或切换；Then 仅合法边生效，PROPOSED 不可执行，非法跳转返回明确错误且 CURRENT 不变。</x:v>
      </x:c>
      <x:c r="F18" s="38" t="str">
        <x:v>已实现</x:v>
      </x:c>
      <x:c r="G18" s="38" t="str">
        <x:v>状态守卫与恢复测试齐全</x:v>
      </x:c>
      <x:c r="H18" s="19" t="str">
        <x:v>尝试从 PROPOSED 直接进入执行，再接受计划并重试。</x:v>
      </x:c>
      <x:c r="I18" s="19" t="str">
        <x:v>非法迁移返回稳定错误；PROPOSED 不可执行；刷新可恢复。</x:v>
      </x:c>
      <x:c r="J18" s="19" t="str">
        <x:v>app/services/trip_state_guard.py；backend/tests/test_trip_state_guard.py</x:v>
      </x:c>
      <x:c r="K18" s="19" t="str">
        <x:v>守卫已实现；对后续重规划链的服务端一致性依赖 T017/T018。</x:v>
      </x:c>
      <x:c r="L18" s="38" t="str">
        <x:v>未演示</x:v>
      </x:c>
      <x:c r="M18" s="19" t="str"/>
    </x:row>
    <x:row r="19" ht="78" customHeight="1">
      <x:c r="A19" s="38" t="str">
        <x:v>S1-T015</x:v>
      </x:c>
      <x:c r="B19" s="38" t="str">
        <x:v>PBI-05-A / AC-05-A</x:v>
      </x:c>
      <x:c r="C19" s="38" t="str">
        <x:v>王敬博</x:v>
      </x:c>
      <x:c r="D19" s="19" t="str">
        <x:v>实现手机执行页与 START/COMPLETE/SKIP ExecutionEvent 接口，事件绑定 taskId 并幂等。</x:v>
      </x:c>
      <x:c r="E19" s="19" t="str">
        <x:v>Given CURRENT V1；When 开始/完成/跳过任务并重复提交；Then 每个操作只生成一个绑定 taskId 的事件，当前任务与已完成状态刷新后可恢复。</x:v>
      </x:c>
      <x:c r="F19" s="38" t="str">
        <x:v>已实现</x:v>
      </x:c>
      <x:c r="G19" s="38" t="str">
        <x:v>接口、幂等与刷新恢复测试齐全</x:v>
      </x:c>
      <x:c r="H19" s="19" t="str">
        <x:v>点击开始/完成/跳过并刷新执行页。</x:v>
      </x:c>
      <x:c r="I19" s="19" t="str">
        <x:v>事件含 eventId/taskId/planVersionId/idempotencyKey/occurredAt；重复提交不重复。</x:v>
      </x:c>
      <x:c r="J19" s="19" t="str">
        <x:v>app/api/execution_events.py；backend/tests/test_execution_event_api.py</x:v>
      </x:c>
      <x:c r="K19" s="19" t="str">
        <x:v>无关键功能缺口。</x:v>
      </x:c>
      <x:c r="L19" s="38" t="str">
        <x:v>未演示</x:v>
      </x:c>
      <x:c r="M19" s="19" t="str"/>
    </x:row>
    <x:row r="20" ht="78" customHeight="1">
      <x:c r="A20" s="38" t="str">
        <x:v>S1-T016</x:v>
      </x:c>
      <x:c r="B20" s="38" t="str">
        <x:v>PBI-05-A / AC-05-A</x:v>
      </x:c>
      <x:c r="C20" s="38" t="str">
        <x:v>张琪</x:v>
      </x:c>
      <x:c r="D20" s="19" t="str">
        <x:v>接入实际消费录入，金额按整数分保存并从事件流复算剩余预算。</x:v>
      </x:c>
      <x:c r="E20" s="19" t="str">
        <x:v>Given 计划预算与多笔实际消费；When 录入含多花 50 元的事件；Then 金额均为整数分，剩余预算由事件流复算；重复 idempotencyKey 不重复扣减。</x:v>
      </x:c>
      <x:c r="F20" s="38" t="str">
        <x:v>已实现</x:v>
      </x:c>
      <x:c r="G20" s="38" t="str">
        <x:v>金额与事件流证据齐全</x:v>
      </x:c>
      <x:c r="H20" s="19" t="str">
        <x:v>把首任务实际支出改为比计划多 50 元并完成。</x:v>
      </x:c>
      <x:c r="I20" s="19" t="str">
        <x:v>金额以整数分保存；刷新后仍在；预算状态由事件流计算。</x:v>
      </x:c>
      <x:c r="J20" s="19" t="str">
        <x:v>app/services/expense_service.py；backend/tests/test_actual_expense.py；docs/testing/evidence/s1_t016_*</x:v>
      </x:c>
      <x:c r="K20" s="19" t="str">
        <x:v>无关键功能缺口。</x:v>
      </x:c>
      <x:c r="L20" s="38" t="str">
        <x:v>未演示</x:v>
      </x:c>
      <x:c r="M20" s="19" t="str"/>
    </x:row>
    <x:row r="21" ht="78" customHeight="1">
      <x:c r="A21" s="38" t="str">
        <x:v>S1-T017</x:v>
      </x:c>
      <x:c r="B21" s="38" t="str">
        <x:v>PBI-05-B / AC-05-B</x:v>
      </x:c>
      <x:c r="C21" s="38" t="str">
        <x:v>陈梓元</x:v>
      </x:c>
      <x:c r="D21" s="19" t="str">
        <x:v>由执行事件推导剩余约束，编排只重算未完成后缀的 Plan V2。</x:v>
      </x:c>
      <x:c r="E21" s="19" t="str">
        <x:v>Given 已完成/锁定任务与多花 50 元事件；When 请求重规划；Then 已完成/锁定任务保留率 100%，只生成未完成后缀候选；无可行解时不保存 V2。</x:v>
      </x:c>
      <x:c r="F21" s="38" t="str">
        <x:v>部分实现</x:v>
      </x:c>
      <x:c r="G21" s="38" t="str">
        <x:v>本地 happy path 已通过；服务端重规划证据不足</x:v>
      </x:c>
      <x:c r="H21" s="19" t="str">
        <x:v>首任务完成并超支 50 元，等待生成 V2，检查已完成任务是否保留。</x:v>
      </x:c>
      <x:c r="I21" s="19" t="str">
        <x:v>本地主流程能替换未完成后缀并保留已完成前缀。</x:v>
      </x:c>
      <x:c r="J21" s="19" t="str">
        <x:v>frontend/src/pages/ExecutionPage.tsx；frontend/src/services/amapPlan.ts</x:v>
      </x:c>
      <x:c r="K21" s="19" t="str">
        <x:v>主要由前端重建后缀；缺服务端事件推导、锁定任务 100% 保留及“无可行解不生成 V2”回归证据。</x:v>
      </x:c>
      <x:c r="L21" s="38" t="str">
        <x:v>未演示</x:v>
      </x:c>
      <x:c r="M21" s="19" t="str"/>
    </x:row>
    <x:row r="22" ht="78" customHeight="1">
      <x:c r="A22" s="38" t="str">
        <x:v>S1-T018</x:v>
      </x:c>
      <x:c r="B22" s="38" t="str">
        <x:v>PBI-05-B / AC-05-B</x:v>
      </x:c>
      <x:c r="C22" s="38" t="str">
        <x:v>林粲涵</x:v>
      </x:c>
      <x:c r="D22" s="19" t="str">
        <x:v>实现最小扰动目标和 V2 的预算、时间、路线、关怀再校验及可放宽项说明。</x:v>
      </x:c>
      <x:c r="E22" s="19" t="str">
        <x:v>Given 两个可行后缀；When 比较候选；Then 先最少修改任务数，再比较满意度损失；选中 V2 全部硬约束 PASS；无解返回受影响 ruleId 与可放宽项。</x:v>
      </x:c>
      <x:c r="F22" s="38" t="str">
        <x:v>未完整实现</x:v>
      </x:c>
      <x:c r="G22" s="38" t="str">
        <x:v>缺关键算法与验收测试</x:v>
      </x:c>
      <x:c r="H22" s="19" t="str">
        <x:v>如老师询问，展示当前 Diff，但不要宣称已完成最小改动目标函数。</x:v>
      </x:c>
      <x:c r="I22" s="19" t="str">
        <x:v>严格标准应比较多个候选：先最少改任务数，再最小满意度损失；无解给 ruleId/放宽项。</x:v>
      </x:c>
      <x:c r="J22" s="19" t="str">
        <x:v>未找到完整生产级候选比较器及相应端到端测试。</x:v>
      </x:c>
      <x:c r="K22" s="19" t="str">
        <x:v>缺目标函数、完整再校验、无可行解 ruleId/relaxations。</x:v>
      </x:c>
      <x:c r="L22" s="38" t="str">
        <x:v>未演示</x:v>
      </x:c>
      <x:c r="M22" s="19" t="str"/>
    </x:row>
    <x:row r="23" ht="78" customHeight="1">
      <x:c r="A23" s="38" t="str">
        <x:v>S1-T019</x:v>
      </x:c>
      <x:c r="B23" s="38" t="str">
        <x:v>PBI-05-C / AC-05-C</x:v>
      </x:c>
      <x:c r="C23" s="38" t="str">
        <x:v>张琪</x:v>
      </x:c>
      <x:c r="D23" s="19" t="str">
        <x:v>实现 V1/V2 Diff 数据契约与接受/拒绝后的原子版本切换。</x:v>
      </x:c>
      <x:c r="E23" s="19" t="str">
        <x:v>Given 候选 V2；When 生成 Diff 并接受/拒绝；Then 地点、时间、路线、费用、关怀变化分为保留/删除/新增；接受原子切换 CURRENT，拒绝后 V1 与执行状态不变。</x:v>
      </x:c>
      <x:c r="F23" s="38" t="str">
        <x:v>已实现</x:v>
      </x:c>
      <x:c r="G23" s="38" t="str">
        <x:v>Diff、原子接受/拒绝测试齐全</x:v>
      </x:c>
      <x:c r="H23" s="19" t="str">
        <x:v>在 V2 Diff 页展开 PLACE/TIME/ROUTE/COST/CARE；先演示拒绝或直接接受。</x:v>
      </x:c>
      <x:c r="I23" s="19" t="str">
        <x:v>接受后 V2 成 CURRENT；拒绝后 V1 继续 CURRENT；旧版本不被改写。</x:v>
      </x:c>
      <x:c r="J23" s="19" t="str">
        <x:v>app/api/plan_versions.py；frontend/src/pages/DiffPage.tsx；backend/tests/test_plan_diff_decision.py；docs/testing/evidence/s1_t019_*</x:v>
      </x:c>
      <x:c r="K23" s="19" t="str">
        <x:v>无关键功能缺口。</x:v>
      </x:c>
      <x:c r="L23" s="38" t="str">
        <x:v>未演示</x:v>
      </x:c>
      <x:c r="M23" s="19" t="str"/>
    </x:row>
    <x:row r="24" ht="78" customHeight="1">
      <x:c r="A24" s="38" t="str">
        <x:v>S1-T020</x:v>
      </x:c>
      <x:c r="B24" s="38" t="str">
        <x:v>PBI-05-C / AC-05-C</x:v>
      </x:c>
      <x:c r="C24" s="38" t="str">
        <x:v>王敬博</x:v>
      </x:c>
      <x:c r="D24" s="19" t="str">
        <x:v>完成 V1/V2 Diff 页面及接受/拒绝交互，未明确确认前不得覆盖 V1。</x:v>
      </x:c>
      <x:c r="E24" s="19" t="str">
        <x:v>Given 一份 V2 Diff；When 查看、接受或拒绝；Then 变化类型与费用/关怀指标清晰，确认前 CURRENT 始终是 V1；375px 下主操作可见且无横向滚动。</x:v>
      </x:c>
      <x:c r="F24" s="38" t="str">
        <x:v>已实现</x:v>
      </x:c>
      <x:c r="G24" s="38" t="str">
        <x:v>代码与自动化齐全；375px/录屏待补</x:v>
      </x:c>
      <x:c r="H24" s="19" t="str">
        <x:v>展示分类 Diff、接受/拒绝按钮和决定后的当前版本。</x:v>
      </x:c>
      <x:c r="I24" s="19" t="str">
        <x:v>差异清楚、操作原子、决定后页面状态一致。</x:v>
      </x:c>
      <x:c r="J24" s="19" t="str">
        <x:v>frontend/src/pages/DiffPage.tsx；frontend/src/__tests__/DiffPage.test.tsx</x:v>
      </x:c>
      <x:c r="K24" s="19" t="str">
        <x:v>建议补手机宽度截图或短录屏。</x:v>
      </x:c>
      <x:c r="L24" s="38" t="str">
        <x:v>未演示</x:v>
      </x:c>
      <x:c r="M24" s="19" t="str"/>
    </x:row>
    <x:row r="25" ht="78" customHeight="1">
      <x:c r="A25" s="38" t="str">
        <x:v>S1-T021</x:v>
      </x:c>
      <x:c r="B25" s="38" t="str">
        <x:v>PBI-06-A / AC-06-A</x:v>
      </x:c>
      <x:c r="C25" s="38" t="str">
        <x:v>王敬博</x:v>
      </x:c>
      <x:c r="D25" s="19" t="str">
        <x:v>实现单人基础总结聚合与页面：计划/实际费用、差额、完成/跳过、版本变化。</x:v>
      </x:c>
      <x:c r="E25" s="19" t="str">
        <x:v>Given COMPLETED 行程；When 打开总结；Then 计划/实际费用及差额可复算，完成/跳过任务与版本变化可追溯到事件；无 V2 显示仅执行 V1；不出现照片时间线。</x:v>
      </x:c>
      <x:c r="F25" s="38" t="str">
        <x:v>已实现</x:v>
      </x:c>
      <x:c r="G25" s="38" t="str">
        <x:v>汇总页面与数据测试齐全</x:v>
      </x:c>
      <x:c r="H25" s="19" t="str">
        <x:v>完成或跳过剩余任务，进入总结页。</x:v>
      </x:c>
      <x:c r="I25" s="19" t="str">
        <x:v>展示完成率、计划/实际预算、当前版本、版本数和事件时间线。</x:v>
      </x:c>
      <x:c r="J25" s="19" t="str">
        <x:v>frontend/src/pages/SummaryPage.tsx；backend/tests/test_trip_summary.py</x:v>
      </x:c>
      <x:c r="K25" s="19" t="str">
        <x:v>无关键功能缺口。</x:v>
      </x:c>
      <x:c r="L25" s="38" t="str">
        <x:v>未演示</x:v>
      </x:c>
      <x:c r="M25" s="19" t="str"/>
    </x:row>
    <x:row r="26" ht="78" customHeight="1">
      <x:c r="A26" s="38" t="str">
        <x:v>S1-T022</x:v>
      </x:c>
      <x:c r="B26" s="38" t="str">
        <x:v>PBI-06-A / AC-06-A</x:v>
      </x:c>
      <x:c r="C26" s="38" t="str">
        <x:v>林粲涵</x:v>
      </x:c>
      <x:c r="D26" s="19" t="str">
        <x:v>编写从事件流到基础总结的追溯回归，并固化无 V2/接受 V2/拒绝 V2 三种路径。</x:v>
      </x:c>
      <x:c r="E26" s="19" t="str">
        <x:v>Given 三条固定路径；When 运行自动化；Then 每条总结数字可追到 taskId/eventId/planVersionId，接受与拒绝结果正确，3/3 用例通过且不依赖照片。</x:v>
      </x:c>
      <x:c r="F26" s="38" t="str">
        <x:v>未完整实现</x:v>
      </x:c>
      <x:c r="G26" s="38" t="str">
        <x:v>缺三条固定路径自动化追溯</x:v>
      </x:c>
      <x:c r="H26" s="19" t="str">
        <x:v>可演示当前一条“接受 V2”路径，但不要宣称三条路径均已验收。</x:v>
      </x:c>
      <x:c r="I26" s="19" t="str">
        <x:v>严格标准要求：无 V2、接受 V2、拒绝 V2 三条固定流程均可追溯。</x:v>
      </x:c>
      <x:c r="J26" s="19" t="str">
        <x:v>现有 Summary 能展示单次结果，但未找到三路径固定端到端 Fixture/报告。</x:v>
      </x:c>
      <x:c r="K26" s="19" t="str">
        <x:v>缺三条固定总结路径、事件/版本追溯自动化和证据包。</x:v>
      </x:c>
      <x:c r="L26" s="38" t="str">
        <x:v>未演示</x:v>
      </x:c>
      <x:c r="M26" s="19" t="str"/>
    </x:row>
    <x:row r="27" ht="78" customHeight="1">
      <x:c r="A27" s="38" t="str">
        <x:v>S1-T023</x:v>
      </x:c>
      <x:c r="B27" s="38" t="str">
        <x:v>PBI-13-S1 / AC-13-S1</x:v>
      </x:c>
      <x:c r="C27" s="38" t="str">
        <x:v>王敬博</x:v>
      </x:c>
      <x:c r="D27" s="19" t="str">
        <x:v>建立统一设计令牌、响应式应用骨架和公网 HTTPS 部署流水线。</x:v>
      </x:c>
      <x:c r="E27" s="19" t="str">
        <x:v>Given 公网环境；When 打开首页及空流程骨架；Then HTTPS 可访问，桌面与 375px 无横向滚动，颜色/字体/间距/状态组件使用同一设计令牌。</x:v>
      </x:c>
      <x:c r="F27" s="38" t="str">
        <x:v>部分实现</x:v>
      </x:c>
      <x:c r="G27" s="38" t="str">
        <x:v>部署配置已提交；公网前端证据失败</x:v>
      </x:c>
      <x:c r="H27" s="19" t="str">
        <x:v>展示 render.yaml/Dockerfile；若老师要求公网，说明当前前端 URL 返回 404。</x:v>
      </x:c>
      <x:c r="I27" s="19" t="str">
        <x:v>后端公网 /health 当前 200；严格标准还要求前端 HTTPS 可访问、375px/桌面截图和流水线日志。</x:v>
      </x:c>
      <x:c r="J27" s="19" t="str">
        <x:v>render.yaml；Dockerfile；deploy/README.md；backend/tests/test_deployment_contract.py</x:v>
      </x:c>
      <x:c r="K27" s="19" t="str">
        <x:v>https://xingzhi-travel-web.onrender.com/ 当前 404；缺公网前端、截图与实际部署流水线证据。</x:v>
      </x:c>
      <x:c r="L27" s="38" t="str">
        <x:v>未演示</x:v>
      </x:c>
      <x:c r="M27" s="19" t="str"/>
    </x:row>
    <x:row r="28" ht="78" customHeight="1">
      <x:c r="A28" s="38" t="str">
        <x:v>S1-T024</x:v>
      </x:c>
      <x:c r="B28" s="38" t="str">
        <x:v>PBI-13-S1 / AC-13-S1</x:v>
      </x:c>
      <x:c r="C28" s="38" t="str">
        <x:v>陈梓元</x:v>
      </x:c>
      <x:c r="D28" s="19" t="str">
        <x:v>集成关怀单人完整 Agent 主链、部署观测与 90 秒 Review 黄金案例。</x:v>
      </x:c>
      <x:c r="E28" s="19" t="str">
        <x:v>Given 公网 HTTPS 与固定祖孙/亲子北京案例；When 桌面/375px 演示；Then 90 秒内完成 AssistanceProfile→V1→多花 50 元→V2→接受或拒绝→总结，Trace 可定位每一步。</x:v>
      </x:c>
      <x:c r="F28" s="38" t="str">
        <x:v>部分实现</x:v>
      </x:c>
      <x:c r="G28" s="38" t="str">
        <x:v>本地主流程现场通过；公网/90秒证据缺失</x:v>
      </x:c>
      <x:c r="H28" s="19" t="str">
        <x:v>按演示脚本走 AssistanceProfile→V1→+50→V2→接受/拒绝→总结。</x:v>
      </x:c>
      <x:c r="I28" s="19" t="str">
        <x:v>本地主流程可完成；完整严格标准还要求公网、375px、90 秒稳定演示和全链日志。</x:v>
      </x:c>
      <x:c r="J28" s="19" t="str">
        <x:v>本地只读验收已走通完整 happy path；后端 193 passed；前端 lint/build passed。</x:v>
      </x:c>
      <x:c r="K28" s="19" t="str">
        <x:v>受 T018/T022/T023 影响；公网前端不可用，未证明 90 秒内稳定完成。</x:v>
      </x:c>
      <x:c r="L28" s="38" t="str">
        <x:v>未演示</x:v>
      </x:c>
      <x:c r="M28" s="19" t="str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</x:row>
  </x:sheetData>
  <x:mergeCells>
    <x:mergeCell ref="A1:M2"/>
    <x:mergeCell ref="A3:M3"/>
  </x:mergeCells>
  <x:conditionalFormatting sqref="F5:F28">
    <x:cfRule type="containsText" dxfId="6" priority="1" operator="containsText" text="已实现"/>
    <x:cfRule type="containsText" dxfId="7" priority="2" operator="containsText" text="部分实现"/>
    <x:cfRule type="containsText" dxfId="8" priority="3" operator="containsText" text="未完整实现"/>
  </x:conditionalFormatting>
  <x:conditionalFormatting sqref="L5:L28">
    <x:cfRule type="containsText" dxfId="9" priority="4" operator="containsText" text="通过"/>
    <x:cfRule type="containsText" dxfId="10" priority="5" operator="containsText" text="失败"/>
    <x:cfRule type="containsText" dxfId="11" priority="6" operator="containsText" text="未演示"/>
  </x:conditionalFormatting>
  <x:dataValidations count="1">
    <x:dataValidation type="list" sqref="L5:L28">
      <x:formula1>"未演示,通过,失败,跳过"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43d862f13f24b8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4" hidden="0" customWidth="1"/>
    <x:col min="3" max="3" width="28" hidden="0" customWidth="1"/>
    <x:col min="4" max="4" width="40" hidden="0" customWidth="1"/>
    <x:col min="5" max="5" width="24" hidden="0" customWidth="1"/>
    <x:col min="6" max="6" width="42" hidden="0" customWidth="1"/>
    <x:col min="7" max="7" width="12" hidden="0" customWidth="1"/>
    <x:col min="8" max="8" width="28" hidden="0" customWidth="1"/>
  </x:cols>
  <x:sheetData>
    <x:row r="1" ht="34" customHeight="1">
      <x:c r="A1" s="5" t="str">
        <x:v>老师现场演示脚本（建议 6–8 分钟）</x:v>
      </x:c>
      <x:c r="B1" s="5" t="str">
        <x:v>老师现场演示脚本（建议 6–8 分钟）</x:v>
      </x:c>
      <x:c r="C1" s="5" t="str">
        <x:v>老师现场演示脚本（建议 6–8 分钟）</x:v>
      </x:c>
      <x:c r="D1" s="5" t="str">
        <x:v>老师现场演示脚本（建议 6–8 分钟）</x:v>
      </x:c>
      <x:c r="E1" s="5" t="str">
        <x:v>老师现场演示脚本（建议 6–8 分钟）</x:v>
      </x:c>
      <x:c r="F1" s="5" t="str">
        <x:v>老师现场演示脚本（建议 6–8 分钟）</x:v>
      </x:c>
      <x:c r="G1" s="5" t="str">
        <x:v>老师现场演示脚本（建议 6–8 分钟）</x:v>
      </x:c>
      <x:c r="H1" s="5" t="str">
        <x:v>老师现场演示脚本（建议 6–8 分钟）</x:v>
      </x:c>
    </x:row>
    <x:row r="2" ht="34" customHeight="1">
      <x:c r="A2" s="5" t="str">
        <x:v>老师现场演示脚本（建议 6–8 分钟）</x:v>
      </x:c>
      <x:c r="B2" s="5" t="str">
        <x:v>老师现场演示脚本（建议 6–8 分钟）</x:v>
      </x:c>
      <x:c r="C2" s="5" t="str">
        <x:v>老师现场演示脚本（建议 6–8 分钟）</x:v>
      </x:c>
      <x:c r="D2" s="5" t="str">
        <x:v>老师现场演示脚本（建议 6–8 分钟）</x:v>
      </x:c>
      <x:c r="E2" s="5" t="str">
        <x:v>老师现场演示脚本（建议 6–8 分钟）</x:v>
      </x:c>
      <x:c r="F2" s="5" t="str">
        <x:v>老师现场演示脚本（建议 6–8 分钟）</x:v>
      </x:c>
      <x:c r="G2" s="5" t="str">
        <x:v>老师现场演示脚本（建议 6–8 分钟）</x:v>
      </x:c>
      <x:c r="H2" s="5" t="str">
        <x:v>老师现场演示脚本（建议 6–8 分钟）</x:v>
      </x:c>
    </x:row>
    <x:row r="3">
      <x:c r="A3" s="40" t="str">
        <x:v>课前先启动服务并预热一次真实计划。高德 Provider 有网络/QPS 延迟，现场不要把首次冷启动计入讲解节奏。</x:v>
      </x:c>
      <x:c r="B3" s="40"/>
      <x:c r="C3" s="40"/>
      <x:c r="D3" s="40"/>
      <x:c r="E3" s="40"/>
      <x:c r="F3" s="40"/>
      <x:c r="G3" s="40"/>
      <x:c r="H3" s="40"/>
    </x:row>
    <x:row r="4">
      <x:c r="A4" s="2"/>
      <x:c r="B4" s="2"/>
      <x:c r="C4" s="2"/>
      <x:c r="D4" s="2"/>
      <x:c r="E4" s="2"/>
      <x:c r="F4" s="2"/>
      <x:c r="G4" s="2"/>
      <x:c r="H4" s="2"/>
    </x:row>
    <x:row r="5" ht="32" customHeight="1">
      <x:c r="A5" s="16" t="str">
        <x:v>序号</x:v>
      </x:c>
      <x:c r="B5" s="16" t="str">
        <x:v>建议时间</x:v>
      </x:c>
      <x:c r="C5" s="16" t="str">
        <x:v>页面/动作</x:v>
      </x:c>
      <x:c r="D5" s="16" t="str">
        <x:v>讲解要点</x:v>
      </x:c>
      <x:c r="E5" s="16" t="str">
        <x:v>对应 Task</x:v>
      </x:c>
      <x:c r="F5" s="16" t="str">
        <x:v>正确标准</x:v>
      </x:c>
      <x:c r="G5" s="16" t="str">
        <x:v>现场结果</x:v>
      </x:c>
      <x:c r="H5" s="16" t="str">
        <x:v>备用证据</x:v>
      </x:c>
    </x:row>
    <x:row r="6" ht="62" customHeight="1">
      <x:c r="A6" s="38" t="n">
        <x:v>1</x:v>
      </x:c>
      <x:c r="B6" s="38" t="str">
        <x:v>课前</x:v>
      </x:c>
      <x:c r="C6" s="19" t="str">
        <x:v>检查 /health 与前端首页</x:v>
      </x:c>
      <x:c r="D6" s="19" t="str">
        <x:v>确认本地后端、前端和个人 AMAP Key 已就绪。</x:v>
      </x:c>
      <x:c r="E6" s="38" t="str">
        <x:v>T005/T023/T024</x:v>
      </x:c>
      <x:c r="F6" s="19" t="str">
        <x:v>本地 8000 与 5173 均返回 200。</x:v>
      </x:c>
      <x:c r="G6" s="38" t="str">
        <x:v>未演示</x:v>
      </x:c>
      <x:c r="H6" s="19" t="str">
        <x:v>环境与故障排查 Sheet</x:v>
      </x:c>
    </x:row>
    <x:row r="7" ht="62" customHeight="1">
      <x:c r="A7" s="38" t="n">
        <x:v>2</x:v>
      </x:c>
      <x:c r="B7" s="38" t="str">
        <x:v>0:00–0:40</x:v>
      </x:c>
      <x:c r="C7" s="19" t="str">
        <x:v>打开 /plan，展示关怀预设</x:v>
      </x:c>
      <x:c r="D7" s="19" t="str">
        <x:v>切换四类 AssistanceProfile；强调新建/编辑状态为 DRAFT。</x:v>
      </x:c>
      <x:c r="E7" s="38" t="str">
        <x:v>T003/T004</x:v>
      </x:c>
      <x:c r="F7" s="19" t="str">
        <x:v>未确认前“生成计划/执行”不可用。</x:v>
      </x:c>
      <x:c r="G7" s="38" t="str">
        <x:v>未演示</x:v>
      </x:c>
      <x:c r="H7" s="19" t="str">
        <x:v>Profile 与状态测试</x:v>
      </x:c>
    </x:row>
    <x:row r="8" ht="62" customHeight="1">
      <x:c r="A8" s="38" t="n">
        <x:v>3</x:v>
      </x:c>
      <x:c r="B8" s="38" t="str">
        <x:v>0:40–1:15</x:v>
      </x:c>
      <x:c r="C8" s="19" t="str">
        <x:v>确认约束，再修改字段</x:v>
      </x:c>
      <x:c r="D8" s="19" t="str">
        <x:v>第一次确认进入 CONSTRAINT_CONFIRMED；修改字段后回退 DRAFT；重新确认。</x:v>
      </x:c>
      <x:c r="E8" s="38" t="str">
        <x:v>T004/T014</x:v>
      </x:c>
      <x:c r="F8" s="19" t="str">
        <x:v>重复确认幂等，非法状态不能执行。</x:v>
      </x:c>
      <x:c r="G8" s="38" t="str">
        <x:v>未演示</x:v>
      </x:c>
      <x:c r="H8" s="19" t="str">
        <x:v>状态转换测试</x:v>
      </x:c>
    </x:row>
    <x:row r="9" ht="62" customHeight="1">
      <x:c r="A9" s="38" t="n">
        <x:v>4</x:v>
      </x:c>
      <x:c r="B9" s="38" t="str">
        <x:v>1:15–1:50</x:v>
      </x:c>
      <x:c r="C9" s="19" t="str">
        <x:v>演示一次歧义清单</x:v>
      </x:c>
      <x:c r="D9" s="19" t="str">
        <x:v>删除预算或输入模糊日期，展示逐项确认；随后恢复完整输入。</x:v>
      </x:c>
      <x:c r="E9" s="38" t="str">
        <x:v>T002</x:v>
      </x:c>
      <x:c r="F9" s="19" t="str">
        <x:v>确认未完成前禁止规划。</x:v>
      </x:c>
      <x:c r="G9" s="38" t="str">
        <x:v>未演示</x:v>
      </x:c>
      <x:c r="H9" s="19" t="str">
        <x:v>5 组 Fixture/截图</x:v>
      </x:c>
    </x:row>
    <x:row r="10" ht="62" customHeight="1">
      <x:c r="A10" s="38" t="n">
        <x:v>5</x:v>
      </x:c>
      <x:c r="B10" s="38" t="str">
        <x:v>1:50–2:40</x:v>
      </x:c>
      <x:c r="C10" s="19" t="str">
        <x:v>生成北京真实计划</x:v>
      </x:c>
      <x:c r="D10" s="19" t="str">
        <x:v>讲 cityCode、来源状态、抓取时间、未知价格和设施证据。</x:v>
      </x:c>
      <x:c r="E10" s="38" t="str">
        <x:v>T005/T006/T010/T011</x:v>
      </x:c>
      <x:c r="F10" s="19" t="str">
        <x:v>110000、不串城；sourceStatus/fetchedAt 可见；未知价格不为 0。</x:v>
      </x:c>
      <x:c r="G10" s="38" t="str">
        <x:v>未演示</x:v>
      </x:c>
      <x:c r="H10" s="19" t="str">
        <x:v>两城脱敏日志</x:v>
      </x:c>
    </x:row>
    <x:row r="11" ht="62" customHeight="1">
      <x:c r="A11" s="38" t="n">
        <x:v>6</x:v>
      </x:c>
      <x:c r="B11" s="38" t="str">
        <x:v>2:40–3:10</x:v>
      </x:c>
      <x:c r="C11" s="19" t="str">
        <x:v>接受 Plan V1</x:v>
      </x:c>
      <x:c r="D11" s="19" t="str">
        <x:v>展示唯一 CURRENT 与不可变版本。</x:v>
      </x:c>
      <x:c r="E11" s="38" t="str">
        <x:v>T012/T013/T014</x:v>
      </x:c>
      <x:c r="F11" s="19" t="str">
        <x:v>接受后才能进入执行；刷新可恢复。</x:v>
      </x:c>
      <x:c r="G11" s="38" t="str">
        <x:v>未演示</x:v>
      </x:c>
      <x:c r="H11" s="19" t="str">
        <x:v>V1 快照/版本测试</x:v>
      </x:c>
    </x:row>
    <x:row r="12" ht="62" customHeight="1">
      <x:c r="A12" s="38" t="n">
        <x:v>7</x:v>
      </x:c>
      <x:c r="B12" s="38" t="str">
        <x:v>3:10–4:00</x:v>
      </x:c>
      <x:c r="C12" s="19" t="str">
        <x:v>首任务实际支出 +50 元并完成</x:v>
      </x:c>
      <x:c r="D12" s="19" t="str">
        <x:v>说明金额用整数分，事件带幂等键。</x:v>
      </x:c>
      <x:c r="E12" s="38" t="str">
        <x:v>T015/T016</x:v>
      </x:c>
      <x:c r="F12" s="19" t="str">
        <x:v>刷新后支出和完成状态仍在；重复点击不重复事件。</x:v>
      </x:c>
      <x:c r="G12" s="38" t="str">
        <x:v>未演示</x:v>
      </x:c>
      <x:c r="H12" s="19" t="str">
        <x:v>事件流 JSON/刷新截图</x:v>
      </x:c>
    </x:row>
    <x:row r="13" ht="62" customHeight="1">
      <x:c r="A13" s="38" t="n">
        <x:v>8</x:v>
      </x:c>
      <x:c r="B13" s="38" t="str">
        <x:v>4:00–5:10</x:v>
      </x:c>
      <x:c r="C13" s="19" t="str">
        <x:v>等待 V2 并检查 Diff</x:v>
      </x:c>
      <x:c r="D13" s="19" t="str">
        <x:v>展示 PLACE/TIME/ROUTE/COST/CARE 分类；核对已完成前缀保留。</x:v>
      </x:c>
      <x:c r="E13" s="38" t="str">
        <x:v>T017/T019/T020</x:v>
      </x:c>
      <x:c r="F13" s="19" t="str">
        <x:v>V2 只影响未完成后缀；分类差异可追溯。</x:v>
      </x:c>
      <x:c r="G13" s="38" t="str">
        <x:v>未演示</x:v>
      </x:c>
      <x:c r="H13" s="19" t="str">
        <x:v>Diff 决策 JSON</x:v>
      </x:c>
    </x:row>
    <x:row r="14" ht="62" customHeight="1">
      <x:c r="A14" s="38" t="n">
        <x:v>9</x:v>
      </x:c>
      <x:c r="B14" s="38" t="str">
        <x:v>5:10–5:40</x:v>
      </x:c>
      <x:c r="C14" s="19" t="str">
        <x:v>接受或拒绝 V2</x:v>
      </x:c>
      <x:c r="D14" s="19" t="str">
        <x:v>接受则 V2 为 CURRENT；拒绝则 V1 继续 CURRENT。</x:v>
      </x:c>
      <x:c r="E14" s="38" t="str">
        <x:v>T019/T020</x:v>
      </x:c>
      <x:c r="F14" s="19" t="str">
        <x:v>决定原子；旧版本不被改写。</x:v>
      </x:c>
      <x:c r="G14" s="38" t="str">
        <x:v>未演示</x:v>
      </x:c>
      <x:c r="H14" s="19" t="str">
        <x:v>接口与组件测试</x:v>
      </x:c>
    </x:row>
    <x:row r="15" ht="62" customHeight="1">
      <x:c r="A15" s="38" t="n">
        <x:v>10</x:v>
      </x:c>
      <x:c r="B15" s="38" t="str">
        <x:v>5:40–6:30</x:v>
      </x:c>
      <x:c r="C15" s="19" t="str">
        <x:v>完成/跳过剩余任务，进入总结</x:v>
      </x:c>
      <x:c r="D15" s="19" t="str">
        <x:v>展示完成率、预算、最终版本、版本数和事件时间线。</x:v>
      </x:c>
      <x:c r="E15" s="38" t="str">
        <x:v>T021/T022/T024</x:v>
      </x:c>
      <x:c r="F15" s="19" t="str">
        <x:v>当前一条路径可展示；不要宣称三条固定路径均已验收。</x:v>
      </x:c>
      <x:c r="G15" s="38" t="str">
        <x:v>未演示</x:v>
      </x:c>
      <x:c r="H15" s="19" t="str">
        <x:v>总结页与后端测试</x:v>
      </x:c>
    </x:row>
    <x:row r="16" ht="62" customHeight="1">
      <x:c r="A16" s="38" t="n">
        <x:v>11</x:v>
      </x:c>
      <x:c r="B16" s="38" t="str">
        <x:v>6:30–7:10</x:v>
      </x:c>
      <x:c r="C16" s="19" t="str">
        <x:v>展示自动化结果</x:v>
      </x:c>
      <x:c r="D16" s="19" t="str">
        <x:v>说明后端 193 passed，前端 lint/build 通过。</x:v>
      </x:c>
      <x:c r="E16" s="38" t="str">
        <x:v>全体</x:v>
      </x:c>
      <x:c r="F16" s="19" t="str">
        <x:v>自动化记录与当前代码提交一致。</x:v>
      </x:c>
      <x:c r="G16" s="38" t="str">
        <x:v>未演示</x:v>
      </x:c>
      <x:c r="H16" s="19" t="str">
        <x:v>验收总览 Sheet</x:v>
      </x:c>
    </x:row>
    <x:row r="17" ht="62" customHeight="1">
      <x:c r="A17" s="38" t="n">
        <x:v>12</x:v>
      </x:c>
      <x:c r="B17" s="38" t="str">
        <x:v>7:10–8:00</x:v>
      </x:c>
      <x:c r="C17" s="19" t="str">
        <x:v>如实说明 6 个未关闭项</x:v>
      </x:c>
      <x:c r="D17" s="19" t="str">
        <x:v>重点说明 T018/T022 未完整、T023 公网前端 404。</x:v>
      </x:c>
      <x:c r="E17" s="38" t="str">
        <x:v>T011/T017/T018/T022/T023/T024</x:v>
      </x:c>
      <x:c r="F17" s="19" t="str">
        <x:v>口径与“验收总览”一致，不夸大完成度。</x:v>
      </x:c>
      <x:c r="G17" s="38" t="str">
        <x:v>未演示</x:v>
      </x:c>
      <x:c r="H17" s="19" t="str">
        <x:v>严格待关闭清单</x:v>
      </x:c>
    </x:row>
    <x:row r="18">
      <x:c r="A18" s="2"/>
      <x:c r="B18" s="2"/>
      <x:c r="C18" s="2"/>
      <x:c r="D18" s="2"/>
      <x:c r="E18" s="2"/>
      <x:c r="F18" s="2"/>
      <x:c r="G18" s="2"/>
      <x:c r="H18" s="2"/>
    </x:row>
    <x:row r="19" ht="24" customHeight="1">
      <x:c r="A19" s="11" t="str">
        <x:v>老师可能追问时的准确回答</x:v>
      </x:c>
      <x:c r="B19" s="11" t="str">
        <x:v>老师可能追问时的准确回答</x:v>
      </x:c>
      <x:c r="C19" s="11" t="str">
        <x:v>老师可能追问时的准确回答</x:v>
      </x:c>
      <x:c r="D19" s="11" t="str">
        <x:v>老师可能追问时的准确回答</x:v>
      </x:c>
      <x:c r="E19" s="11" t="str">
        <x:v>老师可能追问时的准确回答</x:v>
      </x:c>
      <x:c r="F19" s="11" t="str">
        <x:v>老师可能追问时的准确回答</x:v>
      </x:c>
      <x:c r="G19" s="11" t="str">
        <x:v>老师可能追问时的准确回答</x:v>
      </x:c>
      <x:c r="H19" s="11" t="str">
        <x:v>老师可能追问时的准确回答</x:v>
      </x:c>
    </x:row>
    <x:row r="20" ht="32" customHeight="1">
      <x:c r="A20" s="16" t="str">
        <x:v>问题</x:v>
      </x:c>
      <x:c r="B20" s="16" t="str">
        <x:v>建议回答</x:v>
      </x:c>
      <x:c r="C20" s="16" t="str"/>
      <x:c r="D20" s="16" t="str"/>
      <x:c r="E20" s="16" t="str"/>
      <x:c r="F20" s="16" t="str"/>
      <x:c r="G20" s="16" t="str"/>
      <x:c r="H20" s="16" t="str"/>
    </x:row>
    <x:row r="21" ht="50" customHeight="1">
      <x:c r="A21" s="19" t="str">
        <x:v>Sprint 1 是否全部完成？</x:v>
      </x:c>
      <x:c r="B21" s="19" t="str">
        <x:v>按严格验收还没有：18 项已实现、4 项部分实现、2 项未完整实现；本地主流程可以完整演示。</x:v>
      </x:c>
      <x:c r="C21" s="19" t="str"/>
      <x:c r="D21" s="19" t="str"/>
      <x:c r="E21" s="19" t="str"/>
      <x:c r="F21" s="19" t="str"/>
      <x:c r="G21" s="19" t="str"/>
      <x:c r="H21" s="19" t="str"/>
    </x:row>
    <x:row r="22" ht="50" customHeight="1">
      <x:c r="A22" s="19" t="str">
        <x:v>为什么公网打不开？</x:v>
      </x:c>
      <x:c r="B22" s="19" t="str">
        <x:v>后端公网健康检查已通过，但当前前端 Render URL 返回 404，T023 尚未关闭。</x:v>
      </x:c>
      <x:c r="C22" s="19" t="str"/>
      <x:c r="D22" s="19" t="str"/>
      <x:c r="E22" s="19" t="str"/>
      <x:c r="F22" s="19" t="str"/>
      <x:c r="G22" s="19" t="str"/>
      <x:c r="H22" s="19" t="str"/>
    </x:row>
    <x:row r="23" ht="50" customHeight="1">
      <x:c r="A23" s="19" t="str">
        <x:v>V2 是否已经满足“最小改动”？</x:v>
      </x:c>
      <x:c r="B23" s="19" t="str">
        <x:v>当前本地流程能保留已完成前缀并生成 V2；但 T018 的多候选目标函数、全量再校验和无解放宽项还未完整实现。</x:v>
      </x:c>
      <x:c r="C23" s="19" t="str"/>
      <x:c r="D23" s="19" t="str"/>
      <x:c r="E23" s="19" t="str"/>
      <x:c r="F23" s="19" t="str"/>
      <x:c r="G23" s="19" t="str"/>
      <x:c r="H23" s="19" t="str"/>
    </x:row>
    <x:row r="24">
      <x:c r="A24" s="2"/>
      <x:c r="B24" s="2"/>
      <x:c r="C24" s="2"/>
      <x:c r="D24" s="2"/>
      <x:c r="E24" s="2"/>
      <x:c r="F24" s="2"/>
      <x:c r="G24" s="2"/>
      <x:c r="H24" s="2"/>
    </x:row>
  </x:sheetData>
  <x:mergeCells>
    <x:mergeCell ref="A1:H2"/>
    <x:mergeCell ref="A3:H3"/>
    <x:mergeCell ref="A19:H19"/>
    <x:mergeCell ref="B20:H20"/>
    <x:mergeCell ref="B21:H21"/>
    <x:mergeCell ref="B22:H22"/>
    <x:mergeCell ref="B23:H23"/>
  </x:mergeCells>
  <x:conditionalFormatting sqref="G6:G17">
    <x:cfRule type="containsText" dxfId="12" priority="1" operator="containsText" text="通过"/>
    <x:cfRule type="containsText" dxfId="13" priority="2" operator="containsText" text="失败"/>
  </x:conditionalFormatting>
  <x:dataValidations count="1">
    <x:dataValidation type="list" sqref="G6:G17">
      <x:formula1>"未演示,通过,失败,跳过"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4f1b642923841b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4" hidden="0" customWidth="1"/>
    <x:col min="3" max="3" width="30" hidden="0" customWidth="1"/>
    <x:col min="4" max="4" width="38" hidden="0" customWidth="1"/>
    <x:col min="5" max="5" width="38" hidden="0" customWidth="1"/>
    <x:col min="6" max="6" width="14" hidden="0" customWidth="1"/>
  </x:cols>
  <x:sheetData>
    <x:row r="1" ht="34" customHeight="1">
      <x:c r="A1" s="5" t="str">
        <x:v>演示环境与故障排查</x:v>
      </x:c>
      <x:c r="B1" s="5" t="str">
        <x:v>演示环境与故障排查</x:v>
      </x:c>
      <x:c r="C1" s="5" t="str">
        <x:v>演示环境与故障排查</x:v>
      </x:c>
      <x:c r="D1" s="5" t="str">
        <x:v>演示环境与故障排查</x:v>
      </x:c>
      <x:c r="E1" s="5" t="str">
        <x:v>演示环境与故障排查</x:v>
      </x:c>
      <x:c r="F1" s="5" t="str">
        <x:v>演示环境与故障排查</x:v>
      </x:c>
    </x:row>
    <x:row r="2" ht="34" customHeight="1">
      <x:c r="A2" s="5" t="str">
        <x:v>演示环境与故障排查</x:v>
      </x:c>
      <x:c r="B2" s="5" t="str">
        <x:v>演示环境与故障排查</x:v>
      </x:c>
      <x:c r="C2" s="5" t="str">
        <x:v>演示环境与故障排查</x:v>
      </x:c>
      <x:c r="D2" s="5" t="str">
        <x:v>演示环境与故障排查</x:v>
      </x:c>
      <x:c r="E2" s="5" t="str">
        <x:v>演示环境与故障排查</x:v>
      </x:c>
      <x:c r="F2" s="5" t="str">
        <x:v>演示环境与故障排查</x:v>
      </x:c>
    </x:row>
    <x:row r="3">
      <x:c r="A3" s="2"/>
      <x:c r="B3" s="2"/>
      <x:c r="C3" s="2"/>
      <x:c r="D3" s="2"/>
      <x:c r="E3" s="2"/>
      <x:c r="F3" s="2"/>
    </x:row>
    <x:row r="4" ht="24" customHeight="1">
      <x:c r="A4" s="11" t="str">
        <x:v>课前 10 分钟检查</x:v>
      </x:c>
      <x:c r="B4" s="11" t="str">
        <x:v>课前 10 分钟检查</x:v>
      </x:c>
      <x:c r="C4" s="11" t="str">
        <x:v>课前 10 分钟检查</x:v>
      </x:c>
      <x:c r="D4" s="11" t="str">
        <x:v>课前 10 分钟检查</x:v>
      </x:c>
      <x:c r="E4" s="11" t="str">
        <x:v>课前 10 分钟检查</x:v>
      </x:c>
      <x:c r="F4" s="11" t="str">
        <x:v>课前 10 分钟检查</x:v>
      </x:c>
    </x:row>
    <x:row r="5" ht="32" customHeight="1">
      <x:c r="A5" s="16" t="str">
        <x:v>检查项</x:v>
      </x:c>
      <x:c r="B5" s="16" t="str">
        <x:v>正确设置/命令</x:v>
      </x:c>
      <x:c r="C5" s="16" t="str">
        <x:v>正确结果</x:v>
      </x:c>
      <x:c r="D5" s="16" t="str">
        <x:v>失败时处理</x:v>
      </x:c>
      <x:c r="E5" s="16" t="str">
        <x:v>安全要求</x:v>
      </x:c>
      <x:c r="F5" s="16" t="str">
        <x:v>勾选</x:v>
      </x:c>
    </x:row>
    <x:row r="6" ht="54" customHeight="1">
      <x:c r="A6" s="19" t="str">
        <x:v>高德 Key</x:v>
      </x:c>
      <x:c r="B6" s="19" t="str">
        <x:v>项目根目录 .env：AMAP_WEB_SERVICE_KEY=你自己的 Web 服务 Key</x:v>
      </x:c>
      <x:c r="C6" s="19" t="str">
        <x:v>后端能请求真实 POI/路线</x:v>
      </x:c>
      <x:c r="D6" s="19" t="str">
        <x:v>确认 Key 类型为“Web 服务”；重启后端</x:v>
      </x:c>
      <x:c r="E6" s="19" t="str">
        <x:v>绝不提交真实 Key；不在课堂投屏展示</x:v>
      </x:c>
      <x:c r="F6" s="38" t="str">
        <x:v>□</x:v>
      </x:c>
    </x:row>
    <x:row r="7" ht="54" customHeight="1">
      <x:c r="A7" s="19" t="str">
        <x:v>前端 API</x:v>
      </x:c>
      <x:c r="B7" s="19" t="str">
        <x:v>frontend/.env：VITE_API_BASE_URL=http://127.0.0.1:8000；关闭 Mock</x:v>
      </x:c>
      <x:c r="C7" s="19" t="str">
        <x:v>页面调用本地真实后端</x:v>
      </x:c>
      <x:c r="D7" s="19" t="str">
        <x:v>检查变量名并重启 Vite</x:v>
      </x:c>
      <x:c r="E7" s="19" t="str">
        <x:v>前端不能直接持有高德 Web 服务 Key</x:v>
      </x:c>
      <x:c r="F7" s="38" t="str">
        <x:v>□</x:v>
      </x:c>
    </x:row>
    <x:row r="8" ht="54" customHeight="1">
      <x:c r="A8" s="19" t="str">
        <x:v>启动后端</x:v>
      </x:c>
      <x:c r="B8" s="19" t="str">
        <x:v>.\.venv\Scripts\python.exe -m uvicorn app.main:app --host 127.0.0.1 --port 8000</x:v>
      </x:c>
      <x:c r="C8" s="19" t="str">
        <x:v>http://127.0.0.1:8000/health → 200</x:v>
      </x:c>
      <x:c r="D8" s="19" t="str">
        <x:v>查看终端报错、端口占用和 .env</x:v>
      </x:c>
      <x:c r="E8" s="19" t="str">
        <x:v>只在本机使用个人 Key</x:v>
      </x:c>
      <x:c r="F8" s="38" t="str">
        <x:v>□</x:v>
      </x:c>
    </x:row>
    <x:row r="9" ht="54" customHeight="1">
      <x:c r="A9" s="19" t="str">
        <x:v>启动前端</x:v>
      </x:c>
      <x:c r="B9" s="19" t="str">
        <x:v>cd frontend；pnpm run dev</x:v>
      </x:c>
      <x:c r="C9" s="19" t="str">
        <x:v>http://127.0.0.1:5173 可打开中文页面</x:v>
      </x:c>
      <x:c r="D9" s="19" t="str">
        <x:v>检查 Node/pnpm 与后端 CORS</x:v>
      </x:c>
      <x:c r="E9" s="19" t="str">
        <x:v>不要把 .env 内容截图上传</x:v>
      </x:c>
      <x:c r="F9" s="38" t="str">
        <x:v>□</x:v>
      </x:c>
    </x:row>
    <x:row r="10" ht="54" customHeight="1">
      <x:c r="A10" s="19" t="str">
        <x:v>预热计划</x:v>
      </x:c>
      <x:c r="B10" s="19" t="str">
        <x:v>课前完整生成一次北京计划</x:v>
      </x:c>
      <x:c r="C10" s="19" t="str">
        <x:v>后续缓存命中，演示更稳定</x:v>
      </x:c>
      <x:c r="D10" s="19" t="str">
        <x:v>若 QPS 限流，等待后重试</x:v>
      </x:c>
      <x:c r="E10" s="19" t="str">
        <x:v>脱敏日志不能出现 Key</x:v>
      </x:c>
      <x:c r="F10" s="38" t="str">
        <x:v>□</x:v>
      </x:c>
    </x:row>
    <x:row r="11" ht="54" customHeight="1">
      <x:c r="A11" s="19" t="str">
        <x:v>桌面宽度</x:v>
      </x:c>
      <x:c r="B11" s="19" t="str">
        <x:v>浏览器正常桌面宽度</x:v>
      </x:c>
      <x:c r="C11" s="19" t="str">
        <x:v>无横向滚动，按钮可见</x:v>
      </x:c>
      <x:c r="D11" s="19" t="str">
        <x:v>缩放恢复 100%</x:v>
      </x:c>
      <x:c r="E11" s="19" t="str">
        <x:v>—</x:v>
      </x:c>
      <x:c r="F11" s="38" t="str">
        <x:v>□</x:v>
      </x:c>
    </x:row>
    <x:row r="12" ht="54" customHeight="1">
      <x:c r="A12" s="19" t="str">
        <x:v>手机宽度</x:v>
      </x:c>
      <x:c r="B12" s="19" t="str">
        <x:v>开发者工具切换 375px</x:v>
      </x:c>
      <x:c r="C12" s="19" t="str">
        <x:v>无横向滚动，核心操作可用</x:v>
      </x:c>
      <x:c r="D12" s="19" t="str">
        <x:v>现场只做展示，不改数据结构</x:v>
      </x:c>
      <x:c r="E12" s="19" t="str">
        <x:v>—</x:v>
      </x:c>
      <x:c r="F12" s="38" t="str">
        <x:v>□</x:v>
      </x:c>
    </x:row>
    <x:row r="13">
      <x:c r="A13" s="2"/>
      <x:c r="B13" s="2"/>
      <x:c r="C13" s="2"/>
      <x:c r="D13" s="2"/>
      <x:c r="E13" s="2"/>
      <x:c r="F13" s="2"/>
    </x:row>
    <x:row r="14" ht="24" customHeight="1">
      <x:c r="A14" s="11" t="str">
        <x:v>常见故障快速定位</x:v>
      </x:c>
      <x:c r="B14" s="11" t="str">
        <x:v>常见故障快速定位</x:v>
      </x:c>
      <x:c r="C14" s="11" t="str">
        <x:v>常见故障快速定位</x:v>
      </x:c>
      <x:c r="D14" s="11" t="str">
        <x:v>常见故障快速定位</x:v>
      </x:c>
      <x:c r="E14" s="11" t="str">
        <x:v>常见故障快速定位</x:v>
      </x:c>
      <x:c r="F14" s="11" t="str">
        <x:v>常见故障快速定位</x:v>
      </x:c>
    </x:row>
    <x:row r="15" ht="32" customHeight="1">
      <x:c r="A15" s="16" t="str">
        <x:v>现象</x:v>
      </x:c>
      <x:c r="B15" s="16" t="str">
        <x:v>最可能原因</x:v>
      </x:c>
      <x:c r="C15" s="16" t="str">
        <x:v>先检查</x:v>
      </x:c>
      <x:c r="D15" s="16" t="str">
        <x:v>处理</x:v>
      </x:c>
      <x:c r="E15" s="16" t="str">
        <x:v>仍失败时</x:v>
      </x:c>
      <x:c r="F15" s="16" t="str">
        <x:v>影响 Task</x:v>
      </x:c>
    </x:row>
    <x:row r="16" ht="54" customHeight="1">
      <x:c r="A16" s="19" t="str">
        <x:v>127.0.0.1 拒绝连接</x:v>
      </x:c>
      <x:c r="B16" s="19" t="str">
        <x:v>服务未启动或端口不一致</x:v>
      </x:c>
      <x:c r="C16" s="19" t="str">
        <x:v>8000/5173 终端是否在运行</x:v>
      </x:c>
      <x:c r="D16" s="19" t="str">
        <x:v>按上方命令启动或重启</x:v>
      </x:c>
      <x:c r="E16" s="19" t="str">
        <x:v>查看端口占用和终端错误</x:v>
      </x:c>
      <x:c r="F16" s="19" t="str">
        <x:v>T024</x:v>
      </x:c>
    </x:row>
    <x:row r="17" ht="54" customHeight="1">
      <x:c r="A17" s="19" t="str">
        <x:v>页面仍是固定数据</x:v>
      </x:c>
      <x:c r="B17" s="19" t="str">
        <x:v>Mock 未关闭或前端 API 地址错误</x:v>
      </x:c>
      <x:c r="C17" s="19" t="str">
        <x:v>frontend/.env</x:v>
      </x:c>
      <x:c r="D17" s="19" t="str">
        <x:v>改为真实后端并重启 Vite</x:v>
      </x:c>
      <x:c r="E17" s="19" t="str">
        <x:v>浏览器 Network 查看请求目标</x:v>
      </x:c>
      <x:c r="F17" s="19" t="str">
        <x:v>T005/T024</x:v>
      </x:c>
    </x:row>
    <x:row r="18" ht="54" customHeight="1">
      <x:c r="A18" s="19" t="str">
        <x:v>高德返回失败</x:v>
      </x:c>
      <x:c r="B18" s="19" t="str">
        <x:v>Key 类型/权限/QPS/网络问题</x:v>
      </x:c>
      <x:c r="C18" s="19" t="str">
        <x:v>后端日志与 Key 控制台</x:v>
      </x:c>
      <x:c r="D18" s="19" t="str">
        <x:v>确认 Web 服务 Key、配额和网络</x:v>
      </x:c>
      <x:c r="E18" s="19" t="str">
        <x:v>用已预热缓存演示并如实说明</x:v>
      </x:c>
      <x:c r="F18" s="19" t="str">
        <x:v>T005/T010</x:v>
      </x:c>
    </x:row>
    <x:row r="19" ht="54" customHeight="1">
      <x:c r="A19" s="19" t="str">
        <x:v>价格显示待确认</x:v>
      </x:c>
      <x:c r="B19" s="19" t="str">
        <x:v>Provider 没有价格事实</x:v>
      </x:c>
      <x:c r="C19" s="19" t="str">
        <x:v>sourceStatus 与 priceFactStatus</x:v>
      </x:c>
      <x:c r="D19" s="19" t="str">
        <x:v>这是正确降级，不要手填 0</x:v>
      </x:c>
      <x:c r="E19" s="19" t="str">
        <x:v>解释未知事实不伪造</x:v>
      </x:c>
      <x:c r="F19" s="19" t="str">
        <x:v>T006</x:v>
      </x:c>
    </x:row>
    <x:row r="20" ht="54" customHeight="1">
      <x:c r="A20" s="19" t="str">
        <x:v>生成 V2 较慢</x:v>
      </x:c>
      <x:c r="B20" s="19" t="str">
        <x:v>真实 Provider 调用和 QPS 间隔</x:v>
      </x:c>
      <x:c r="C20" s="19" t="str">
        <x:v>后端日志是否仍在请求</x:v>
      </x:c>
      <x:c r="D20" s="19" t="str">
        <x:v>耐心等待并避免重复点击</x:v>
      </x:c>
      <x:c r="E20" s="19" t="str">
        <x:v>展示已有 Diff 证据文件</x:v>
      </x:c>
      <x:c r="F20" s="19" t="str">
        <x:v>T017/T019</x:v>
      </x:c>
    </x:row>
    <x:row r="21" ht="54" customHeight="1">
      <x:c r="A21" s="19" t="str">
        <x:v>公网前端 404</x:v>
      </x:c>
      <x:c r="B21" s="19" t="str">
        <x:v>Render 前端服务未成功发布/路由错误</x:v>
      </x:c>
      <x:c r="C21" s="19" t="str">
        <x:v>当前 URL 与部署日志</x:v>
      </x:c>
      <x:c r="D21" s="19" t="str">
        <x:v>重新部署前端并补 SPA fallback</x:v>
      </x:c>
      <x:c r="E21" s="19" t="str">
        <x:v>课堂改用本地 5173 演示</x:v>
      </x:c>
      <x:c r="F21" s="19" t="str">
        <x:v>T023/T024</x:v>
      </x:c>
    </x:row>
    <x:row r="22" ht="54" customHeight="1">
      <x:c r="A22" s="19" t="str">
        <x:v>老师要求 90 秒</x:v>
      </x:c>
      <x:c r="B22" s="19" t="str">
        <x:v>当前真实网络冷启动不稳定</x:v>
      </x:c>
      <x:c r="C22" s="19" t="str">
        <x:v>是否已预热、缓存是否可用</x:v>
      </x:c>
      <x:c r="D22" s="19" t="str">
        <x:v>用缓存预热后计时</x:v>
      </x:c>
      <x:c r="E22" s="19" t="str">
        <x:v>未有证据前不要宣称已达标</x:v>
      </x:c>
      <x:c r="F22" s="19" t="str">
        <x:v>T024</x:v>
      </x:c>
    </x:row>
    <x:row r="23">
      <x:c r="A23" s="2"/>
      <x:c r="B23" s="2"/>
      <x:c r="C23" s="2"/>
      <x:c r="D23" s="2"/>
      <x:c r="E23" s="2"/>
      <x:c r="F23" s="2"/>
    </x:row>
    <x:row r="24" ht="24" customHeight="1">
      <x:c r="A24" s="11" t="str">
        <x:v>当前已核实的地址</x:v>
      </x:c>
      <x:c r="B24" s="11" t="str">
        <x:v>当前已核实的地址</x:v>
      </x:c>
      <x:c r="C24" s="11" t="str">
        <x:v>当前已核实的地址</x:v>
      </x:c>
      <x:c r="D24" s="11" t="str">
        <x:v>当前已核实的地址</x:v>
      </x:c>
      <x:c r="E24" s="11" t="str">
        <x:v>当前已核实的地址</x:v>
      </x:c>
      <x:c r="F24" s="11" t="str">
        <x:v>当前已核实的地址</x:v>
      </x:c>
    </x:row>
    <x:row r="25" ht="32" customHeight="1">
      <x:c r="A25" s="16" t="str">
        <x:v>用途</x:v>
      </x:c>
      <x:c r="B25" s="16" t="str">
        <x:v>地址</x:v>
      </x:c>
      <x:c r="C25" s="16" t="str">
        <x:v>当前结果</x:v>
      </x:c>
      <x:c r="D25" s="16" t="str">
        <x:v>核查日期</x:v>
      </x:c>
      <x:c r="E25" s="16" t="str">
        <x:v>说明</x:v>
      </x:c>
      <x:c r="F25" s="16" t="str"/>
    </x:row>
    <x:row r="26">
      <x:c r="A26" s="19" t="str">
        <x:v>本地前端</x:v>
      </x:c>
      <x:c r="B26" s="19" t="str">
        <x:v>http://127.0.0.1:5173</x:v>
      </x:c>
      <x:c r="C26" s="19" t="str">
        <x:v>200（本机服务运行时）</x:v>
      </x:c>
      <x:c r="D26" s="19" t="str">
        <x:v>2026-08-25</x:v>
      </x:c>
      <x:c r="E26" s="19" t="str">
        <x:v>推荐课堂演示地址</x:v>
      </x:c>
      <x:c r="F26" s="19" t="str"/>
    </x:row>
    <x:row r="27">
      <x:c r="A27" s="19" t="str">
        <x:v>公网后端健康检查</x:v>
      </x:c>
      <x:c r="B27" s="19" t="str">
        <x:v>https://imagine-mp7v.onrender.com/health</x:v>
      </x:c>
      <x:c r="C27" s="19" t="str">
        <x:v>200</x:v>
      </x:c>
      <x:c r="D27" s="19" t="str">
        <x:v>2026-08-25</x:v>
      </x:c>
      <x:c r="E27" s="19" t="str">
        <x:v>后端已在线</x:v>
      </x:c>
      <x:c r="F27" s="19" t="str"/>
    </x:row>
    <x:row r="28">
      <x:c r="A28" s="19" t="str">
        <x:v>公网前端</x:v>
      </x:c>
      <x:c r="B28" s="19" t="str">
        <x:v>https://xingzhi-travel-web.onrender.com/</x:v>
      </x:c>
      <x:c r="C28" s="23" t="str">
        <x:v>404</x:v>
      </x:c>
      <x:c r="D28" s="19" t="str">
        <x:v>2026-08-25</x:v>
      </x:c>
      <x:c r="E28" s="19" t="str">
        <x:v>严格部署验收未通过</x:v>
      </x:c>
      <x:c r="F28" s="19" t="str"/>
    </x:row>
    <x:row r="29">
      <x:c r="A29" s="2"/>
      <x:c r="B29" s="2"/>
      <x:c r="C29" s="2"/>
      <x:c r="D29" s="2"/>
      <x:c r="E29" s="2"/>
      <x:c r="F29" s="2"/>
    </x:row>
    <x:row r="30">
      <x:c r="A30" s="2"/>
      <x:c r="B30" s="2"/>
      <x:c r="C30" s="2"/>
      <x:c r="D30" s="2"/>
      <x:c r="E30" s="2"/>
      <x:c r="F30" s="2"/>
    </x:row>
  </x:sheetData>
  <x:mergeCells>
    <x:mergeCell ref="A1:F2"/>
    <x:mergeCell ref="A4:F4"/>
    <x:mergeCell ref="A14:F14"/>
    <x:mergeCell ref="A24:F2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48" hidden="0" customWidth="1"/>
    <x:col min="5" max="5" width="44" hidden="0" customWidth="1"/>
    <x:col min="6" max="6" width="28" hidden="0" customWidth="1"/>
    <x:col min="7" max="7" width="44" hidden="0" customWidth="1"/>
  </x:cols>
  <x:sheetData>
    <x:row r="1" ht="34" customHeight="1">
      <x:c r="A1" s="5" t="str">
        <x:v>Sprint 1 代码与验收证据索引</x:v>
      </x:c>
      <x:c r="B1" s="5" t="str">
        <x:v>Sprint 1 代码与验收证据索引</x:v>
      </x:c>
      <x:c r="C1" s="5" t="str">
        <x:v>Sprint 1 代码与验收证据索引</x:v>
      </x:c>
      <x:c r="D1" s="5" t="str">
        <x:v>Sprint 1 代码与验收证据索引</x:v>
      </x:c>
      <x:c r="E1" s="5" t="str">
        <x:v>Sprint 1 代码与验收证据索引</x:v>
      </x:c>
      <x:c r="F1" s="5" t="str">
        <x:v>Sprint 1 代码与验收证据索引</x:v>
      </x:c>
      <x:c r="G1" s="5" t="str">
        <x:v>Sprint 1 代码与验收证据索引</x:v>
      </x:c>
    </x:row>
    <x:row r="2" ht="34" customHeight="1">
      <x:c r="A2" s="5" t="str">
        <x:v>Sprint 1 代码与验收证据索引</x:v>
      </x:c>
      <x:c r="B2" s="5" t="str">
        <x:v>Sprint 1 代码与验收证据索引</x:v>
      </x:c>
      <x:c r="C2" s="5" t="str">
        <x:v>Sprint 1 代码与验收证据索引</x:v>
      </x:c>
      <x:c r="D2" s="5" t="str">
        <x:v>Sprint 1 代码与验收证据索引</x:v>
      </x:c>
      <x:c r="E2" s="5" t="str">
        <x:v>Sprint 1 代码与验收证据索引</x:v>
      </x:c>
      <x:c r="F2" s="5" t="str">
        <x:v>Sprint 1 代码与验收证据索引</x:v>
      </x:c>
      <x:c r="G2" s="5" t="str">
        <x:v>Sprint 1 代码与验收证据索引</x:v>
      </x:c>
    </x:row>
    <x:row r="3">
      <x:c r="A3" s="7" t="str">
        <x:v>远程分支：https://gitee.com/wangjingbo222/2026lindashixun12zu/tree/zq  |  审计提交：3b9321c39e794a3e1bcc782cb947219bff197c3d</x:v>
      </x:c>
      <x:c r="B3" s="7"/>
      <x:c r="C3" s="7"/>
      <x:c r="D3" s="7"/>
      <x:c r="E3" s="7"/>
      <x:c r="F3" s="7"/>
      <x:c r="G3" s="7"/>
    </x:row>
    <x:row r="4">
      <x:c r="A4" s="2"/>
      <x:c r="B4" s="2"/>
      <x:c r="C4" s="2"/>
      <x:c r="D4" s="2"/>
      <x:c r="E4" s="2"/>
      <x:c r="F4" s="2"/>
      <x:c r="G4" s="2"/>
    </x:row>
    <x:row r="5" ht="32" customHeight="1">
      <x:c r="A5" s="16" t="str">
        <x:v>Task</x:v>
      </x:c>
      <x:c r="B5" s="16" t="str">
        <x:v>负责人</x:v>
      </x:c>
      <x:c r="C5" s="16" t="str">
        <x:v>功能状态</x:v>
      </x:c>
      <x:c r="D5" s="16" t="str">
        <x:v>主要证据位置</x:v>
      </x:c>
      <x:c r="E5" s="16" t="str">
        <x:v>现场用途</x:v>
      </x:c>
      <x:c r="F5" s="16" t="str">
        <x:v>证据完备度</x:v>
      </x:c>
      <x:c r="G5" s="16" t="str">
        <x:v>备注</x:v>
      </x:c>
    </x:row>
    <x:row r="6" ht="66" customHeight="1">
      <x:c r="A6" s="38" t="str">
        <x:v>S1-T001</x:v>
      </x:c>
      <x:c r="B6" s="38" t="str">
        <x:v>陈梓元</x:v>
      </x:c>
      <x:c r="C6" s="38" t="str">
        <x:v>已实现</x:v>
      </x:c>
      <x:c r="D6" s="19" t="str">
        <x:v>app/schemas/trip.py；backend/tests/test_trip_schema.py</x:v>
      </x:c>
      <x:c r="E6" s="19" t="str">
        <x:v>运行 Trip/CityContext Schema 测试，展示 3 城参数化与字段级错误。</x:v>
      </x:c>
      <x:c r="F6" s="19" t="str">
        <x:v>自动化与接口证据齐全</x:v>
      </x:c>
      <x:c r="G6" s="19" t="str">
        <x:v>无关键功能缺口。</x:v>
      </x:c>
    </x:row>
    <x:row r="7" ht="66" customHeight="1">
      <x:c r="A7" s="38" t="str">
        <x:v>S1-T002</x:v>
      </x:c>
      <x:c r="B7" s="38" t="str">
        <x:v>张琪</x:v>
      </x:c>
      <x:c r="C7" s="38" t="str">
        <x:v>已实现</x:v>
      </x:c>
      <x:c r="D7" s="19" t="str">
        <x:v>app/api/trip_parse.py；backend/tests/test_trip_parse_api.py；docs/testing/evidence/s1_t002_*</x:v>
      </x:c>
      <x:c r="E7" s="19" t="str">
        <x:v>在规划页删除预算或输入模糊日期，提交后查看逐项确认清单；未确认前尝试规划。</x:v>
      </x:c>
      <x:c r="F7" s="19" t="str">
        <x:v>5 组 Fixture 与页面证据齐全</x:v>
      </x:c>
      <x:c r="G7" s="19" t="str">
        <x:v>现场演示后需恢复完整输入再继续主流程。</x:v>
      </x:c>
    </x:row>
    <x:row r="8" ht="66" customHeight="1">
      <x:c r="A8" s="38" t="str">
        <x:v>S1-T003</x:v>
      </x:c>
      <x:c r="B8" s="38" t="str">
        <x:v>林粲涵</x:v>
      </x:c>
      <x:c r="C8" s="38" t="str">
        <x:v>已实现</x:v>
      </x:c>
      <x:c r="D8" s="19" t="str">
        <x:v>app/schemas/assistance_profile.py；backend/tests/test_assistance_profile.py</x:v>
      </x:c>
      <x:c r="E8" s="19" t="str">
        <x:v>依次切换老年/轮椅/婴幼儿/视障预设，查看字段与状态。</x:v>
      </x:c>
      <x:c r="F8" s="19" t="str">
        <x:v>模型与测试齐全</x:v>
      </x:c>
      <x:c r="G8" s="19" t="str">
        <x:v>无关键功能缺口。</x:v>
      </x:c>
    </x:row>
    <x:row r="9" ht="66" customHeight="1">
      <x:c r="A9" s="38" t="str">
        <x:v>S1-T004</x:v>
      </x:c>
      <x:c r="B9" s="38" t="str">
        <x:v>王敬博</x:v>
      </x:c>
      <x:c r="C9" s="38" t="str">
        <x:v>已实现</x:v>
      </x:c>
      <x:c r="D9" s="19" t="str">
        <x:v>frontend/src/pages/PlanPage.tsx；backend/tests/test_constraint_confirmation_api.py</x:v>
      </x:c>
      <x:c r="E9" s="19" t="str">
        <x:v>确认关怀约束，再修改任一关怀字段。</x:v>
      </x:c>
      <x:c r="F9" s="19" t="str">
        <x:v>状态测试齐全；375px 截图待补</x:v>
      </x:c>
      <x:c r="G9" s="19" t="str">
        <x:v>建议课前补一张 375px 截图作为验收附件。</x:v>
      </x:c>
    </x:row>
    <x:row r="10" ht="66" customHeight="1">
      <x:c r="A10" s="38" t="str">
        <x:v>S1-T005</x:v>
      </x:c>
      <x:c r="B10" s="38" t="str">
        <x:v>张琪</x:v>
      </x:c>
      <x:c r="C10" s="38" t="str">
        <x:v>已实现</x:v>
      </x:c>
      <x:c r="D10" s="19" t="str">
        <x:v>app/providers/amap.py；backend/tests/test_amap_provider.py；docs/testing/evidence/s1_t005_provider_beijing_shanghai.json</x:v>
      </x:c>
      <x:c r="E10" s="19" t="str">
        <x:v>生成北京真实计划；备用运行两城 Provider 集成测试并展示脱敏日志。</x:v>
      </x:c>
      <x:c r="F10" s="19" t="str">
        <x:v>两城联调与脱敏日志齐全</x:v>
      </x:c>
      <x:c r="G10" s="19" t="str">
        <x:v>依赖个人 AMAP Web 服务 Key 与网络。</x:v>
      </x:c>
    </x:row>
    <x:row r="11" ht="66" customHeight="1">
      <x:c r="A11" s="38" t="str">
        <x:v>S1-T006</x:v>
      </x:c>
      <x:c r="B11" s="38" t="str">
        <x:v>陈梓元</x:v>
      </x:c>
      <x:c r="C11" s="38" t="str">
        <x:v>已实现</x:v>
      </x:c>
      <x:c r="D11" s="19" t="str">
        <x:v>app/cache/provider_cache.py；backend/tests/test_city_cache_isolation.py</x:v>
      </x:c>
      <x:c r="E11" s="19" t="str">
        <x:v>展示同名 POI 的城市隔离测试与未知价格字段。</x:v>
      </x:c>
      <x:c r="F11" s="19" t="str">
        <x:v>缓存与规范化测试齐全</x:v>
      </x:c>
      <x:c r="G11" s="19" t="str">
        <x:v>无关键功能缺口。</x:v>
      </x:c>
    </x:row>
    <x:row r="12" ht="66" customHeight="1">
      <x:c r="A12" s="38" t="str">
        <x:v>S1-T007</x:v>
      </x:c>
      <x:c r="B12" s="38" t="str">
        <x:v>陈梓元</x:v>
      </x:c>
      <x:c r="C12" s="38" t="str">
        <x:v>已实现</x:v>
      </x:c>
      <x:c r="D12" s="19" t="str">
        <x:v>app/services/assistance_constraint_compiler.py；backend/tests/test_assistance_constraint_compiler.py</x:v>
      </x:c>
      <x:c r="E12" s="19" t="str">
        <x:v>运行关怀档案到 HARD/SOFT 约束的参数化测试。</x:v>
      </x:c>
      <x:c r="F12" s="19" t="str">
        <x:v>确定性编译测试齐全</x:v>
      </x:c>
      <x:c r="G12" s="19" t="str">
        <x:v>编译器本身已完成；与 T011 主编排的接线仍不完整。</x:v>
      </x:c>
    </x:row>
    <x:row r="13" ht="66" customHeight="1">
      <x:c r="A13" s="38" t="str">
        <x:v>S1-T008</x:v>
      </x:c>
      <x:c r="B13" s="38" t="str">
        <x:v>林粲涵</x:v>
      </x:c>
      <x:c r="C13" s="38" t="str">
        <x:v>已实现</x:v>
      </x:c>
      <x:c r="D13" s="19" t="str">
        <x:v>app/agent/tools.py；backend/tests/test_agent_tools_contract.py</x:v>
      </x:c>
      <x:c r="E13" s="19" t="str">
        <x:v>运行 Agent 工具契约测试，展示服务端重算字段。</x:v>
      </x:c>
      <x:c r="F13" s="19" t="str">
        <x:v>工具契约与防篡改测试齐全</x:v>
      </x:c>
      <x:c r="G13" s="19" t="str">
        <x:v>单工具已通过；统一规划主链仍见 T011 缺口。</x:v>
      </x:c>
    </x:row>
    <x:row r="14" ht="66" customHeight="1">
      <x:c r="A14" s="38" t="str">
        <x:v>S1-T009</x:v>
      </x:c>
      <x:c r="B14" s="38" t="str">
        <x:v>林粲涵</x:v>
      </x:c>
      <x:c r="C14" s="38" t="str">
        <x:v>已实现</x:v>
      </x:c>
      <x:c r="D14" s="19" t="str">
        <x:v>app/services/route_risk.py；backend/tests/test_route_risk.py</x:v>
      </x:c>
      <x:c r="E14" s="19" t="str">
        <x:v>运行轮椅/老年/婴幼儿/视障 4 类路线风险测试。</x:v>
      </x:c>
      <x:c r="F14" s="19" t="str">
        <x:v>风险 Fixture 自动化齐全</x:v>
      </x:c>
      <x:c r="G14" s="19" t="str">
        <x:v>评估器本身已完成；规划主链调用仍见 T011。</x:v>
      </x:c>
    </x:row>
    <x:row r="15" ht="66" customHeight="1">
      <x:c r="A15" s="38" t="str">
        <x:v>S1-T010</x:v>
      </x:c>
      <x:c r="B15" s="38" t="str">
        <x:v>张琪</x:v>
      </x:c>
      <x:c r="C15" s="38" t="str">
        <x:v>已实现</x:v>
      </x:c>
      <x:c r="D15" s="19" t="str">
        <x:v>app/providers/amap.py；backend/tests/test_route_facility_evidence.py；docs/testing/evidence/s1_t010_*</x:v>
      </x:c>
      <x:c r="E15" s="19" t="str">
        <x:v>在计划工作台展开关怀/设施证据，查看来源、时间和待确认状态。</x:v>
      </x:c>
      <x:c r="F15" s="19" t="str">
        <x:v>设施证据与降级证据齐全</x:v>
      </x:c>
      <x:c r="G15" s="19" t="str">
        <x:v>部分设施事实依赖 Provider 数据，缺失时按设计降级。</x:v>
      </x:c>
    </x:row>
    <x:row r="16" ht="66" customHeight="1">
      <x:c r="A16" s="38" t="str">
        <x:v>S1-T011</x:v>
      </x:c>
      <x:c r="B16" s="38" t="str">
        <x:v>林粲涵</x:v>
      </x:c>
      <x:c r="C16" s="38" t="str">
        <x:v>部分实现</x:v>
      </x:c>
      <x:c r="D16" s="19" t="str">
        <x:v>frontend/src/services/amapPlan.ts；frontend/src/pages/WorkspacePage.tsx</x:v>
      </x:c>
      <x:c r="E16" s="19" t="str">
        <x:v>生成单日 3–4 任务计划并展示时间窗、路线、预算和关怀摘要。</x:v>
      </x:c>
      <x:c r="F16" s="19" t="str">
        <x:v>界面主链可用；统一后端编排证据不足</x:v>
      </x:c>
      <x:c r="G16" s="19" t="str">
        <x:v>生产规划未完整串联 T007/T008/T009；仍存在客户端写死 validationStatus=PASS。</x:v>
      </x:c>
    </x:row>
    <x:row r="17" ht="66" customHeight="1">
      <x:c r="A17" s="38" t="str">
        <x:v>S1-T012</x:v>
      </x:c>
      <x:c r="B17" s="38" t="str">
        <x:v>王敬博</x:v>
      </x:c>
      <x:c r="C17" s="38" t="str">
        <x:v>已实现</x:v>
      </x:c>
      <x:c r="D17" s="19" t="str">
        <x:v>frontend/src/pages/WorkspacePage.tsx；frontend/src/__tests__</x:v>
      </x:c>
      <x:c r="E17" s="19" t="str">
        <x:v>展示唯一 CURRENT 计划、任务时间线、预算和关怀提示。</x:v>
      </x:c>
      <x:c r="F17" s="19" t="str">
        <x:v>桌面功能完整；375px/组件证据待补</x:v>
      </x:c>
      <x:c r="G17" s="19" t="str">
        <x:v>建议补 375px 无横向滚动截图和组件测试报告。</x:v>
      </x:c>
    </x:row>
    <x:row r="18" ht="66" customHeight="1">
      <x:c r="A18" s="38" t="str">
        <x:v>S1-T013</x:v>
      </x:c>
      <x:c r="B18" s="38" t="str">
        <x:v>张琪</x:v>
      </x:c>
      <x:c r="C18" s="38" t="str">
        <x:v>已实现</x:v>
      </x:c>
      <x:c r="D18" s="19" t="str">
        <x:v>app/api/plan_versions.py；backend/tests/test_plan_version_api.py；docs/testing/evidence/s1_t013_plan_v1_snapshot.json</x:v>
      </x:c>
      <x:c r="E18" s="19" t="str">
        <x:v>接受 V1，刷新页面后查看版本和 CURRENT 状态。</x:v>
      </x:c>
      <x:c r="F18" s="19" t="str">
        <x:v>版本持久化与唯一 CURRENT 测试齐全</x:v>
      </x:c>
      <x:c r="G18" s="19" t="str">
        <x:v>无关键功能缺口。</x:v>
      </x:c>
    </x:row>
    <x:row r="19" ht="66" customHeight="1">
      <x:c r="A19" s="38" t="str">
        <x:v>S1-T014</x:v>
      </x:c>
      <x:c r="B19" s="38" t="str">
        <x:v>陈梓元</x:v>
      </x:c>
      <x:c r="C19" s="38" t="str">
        <x:v>已实现</x:v>
      </x:c>
      <x:c r="D19" s="19" t="str">
        <x:v>app/services/trip_state_guard.py；backend/tests/test_trip_state_guard.py</x:v>
      </x:c>
      <x:c r="E19" s="19" t="str">
        <x:v>尝试从 PROPOSED 直接进入执行，再接受计划并重试。</x:v>
      </x:c>
      <x:c r="F19" s="19" t="str">
        <x:v>状态守卫与恢复测试齐全</x:v>
      </x:c>
      <x:c r="G19" s="19" t="str">
        <x:v>守卫已实现；对后续重规划链的服务端一致性依赖 T017/T018。</x:v>
      </x:c>
    </x:row>
    <x:row r="20" ht="66" customHeight="1">
      <x:c r="A20" s="38" t="str">
        <x:v>S1-T015</x:v>
      </x:c>
      <x:c r="B20" s="38" t="str">
        <x:v>王敬博</x:v>
      </x:c>
      <x:c r="C20" s="38" t="str">
        <x:v>已实现</x:v>
      </x:c>
      <x:c r="D20" s="19" t="str">
        <x:v>app/api/execution_events.py；backend/tests/test_execution_event_api.py</x:v>
      </x:c>
      <x:c r="E20" s="19" t="str">
        <x:v>点击开始/完成/跳过并刷新执行页。</x:v>
      </x:c>
      <x:c r="F20" s="19" t="str">
        <x:v>接口、幂等与刷新恢复测试齐全</x:v>
      </x:c>
      <x:c r="G20" s="19" t="str">
        <x:v>无关键功能缺口。</x:v>
      </x:c>
    </x:row>
    <x:row r="21" ht="66" customHeight="1">
      <x:c r="A21" s="38" t="str">
        <x:v>S1-T016</x:v>
      </x:c>
      <x:c r="B21" s="38" t="str">
        <x:v>张琪</x:v>
      </x:c>
      <x:c r="C21" s="38" t="str">
        <x:v>已实现</x:v>
      </x:c>
      <x:c r="D21" s="19" t="str">
        <x:v>app/services/expense_service.py；backend/tests/test_actual_expense.py；docs/testing/evidence/s1_t016_*</x:v>
      </x:c>
      <x:c r="E21" s="19" t="str">
        <x:v>把首任务实际支出改为比计划多 50 元并完成。</x:v>
      </x:c>
      <x:c r="F21" s="19" t="str">
        <x:v>金额与事件流证据齐全</x:v>
      </x:c>
      <x:c r="G21" s="19" t="str">
        <x:v>无关键功能缺口。</x:v>
      </x:c>
    </x:row>
    <x:row r="22" ht="66" customHeight="1">
      <x:c r="A22" s="38" t="str">
        <x:v>S1-T017</x:v>
      </x:c>
      <x:c r="B22" s="38" t="str">
        <x:v>陈梓元</x:v>
      </x:c>
      <x:c r="C22" s="38" t="str">
        <x:v>部分实现</x:v>
      </x:c>
      <x:c r="D22" s="19" t="str">
        <x:v>frontend/src/pages/ExecutionPage.tsx；frontend/src/services/amapPlan.ts</x:v>
      </x:c>
      <x:c r="E22" s="19" t="str">
        <x:v>首任务完成并超支 50 元，等待生成 V2，检查已完成任务是否保留。</x:v>
      </x:c>
      <x:c r="F22" s="19" t="str">
        <x:v>本地 happy path 已通过；服务端重规划证据不足</x:v>
      </x:c>
      <x:c r="G22" s="19" t="str">
        <x:v>主要由前端重建后缀；缺服务端事件推导、锁定任务 100% 保留及“无可行解不生成 V2”回归证据。</x:v>
      </x:c>
    </x:row>
    <x:row r="23" ht="66" customHeight="1">
      <x:c r="A23" s="38" t="str">
        <x:v>S1-T018</x:v>
      </x:c>
      <x:c r="B23" s="38" t="str">
        <x:v>林粲涵</x:v>
      </x:c>
      <x:c r="C23" s="38" t="str">
        <x:v>未完整实现</x:v>
      </x:c>
      <x:c r="D23" s="19" t="str">
        <x:v>未找到完整生产级候选比较器及相应端到端测试。</x:v>
      </x:c>
      <x:c r="E23" s="19" t="str">
        <x:v>如老师询问，展示当前 Diff，但不要宣称已完成最小改动目标函数。</x:v>
      </x:c>
      <x:c r="F23" s="19" t="str">
        <x:v>缺关键算法与验收测试</x:v>
      </x:c>
      <x:c r="G23" s="19" t="str">
        <x:v>缺目标函数、完整再校验、无可行解 ruleId/relaxations。</x:v>
      </x:c>
    </x:row>
    <x:row r="24" ht="66" customHeight="1">
      <x:c r="A24" s="38" t="str">
        <x:v>S1-T019</x:v>
      </x:c>
      <x:c r="B24" s="38" t="str">
        <x:v>张琪</x:v>
      </x:c>
      <x:c r="C24" s="38" t="str">
        <x:v>已实现</x:v>
      </x:c>
      <x:c r="D24" s="19" t="str">
        <x:v>app/api/plan_versions.py；frontend/src/pages/DiffPage.tsx；backend/tests/test_plan_diff_decision.py；docs/testing/evidence/s1_t019_*</x:v>
      </x:c>
      <x:c r="E24" s="19" t="str">
        <x:v>在 V2 Diff 页展开 PLACE/TIME/ROUTE/COST/CARE；先演示拒绝或直接接受。</x:v>
      </x:c>
      <x:c r="F24" s="19" t="str">
        <x:v>Diff、原子接受/拒绝测试齐全</x:v>
      </x:c>
      <x:c r="G24" s="19" t="str">
        <x:v>无关键功能缺口。</x:v>
      </x:c>
    </x:row>
    <x:row r="25" ht="66" customHeight="1">
      <x:c r="A25" s="38" t="str">
        <x:v>S1-T020</x:v>
      </x:c>
      <x:c r="B25" s="38" t="str">
        <x:v>王敬博</x:v>
      </x:c>
      <x:c r="C25" s="38" t="str">
        <x:v>已实现</x:v>
      </x:c>
      <x:c r="D25" s="19" t="str">
        <x:v>frontend/src/pages/DiffPage.tsx；frontend/src/__tests__/DiffPage.test.tsx</x:v>
      </x:c>
      <x:c r="E25" s="19" t="str">
        <x:v>展示分类 Diff、接受/拒绝按钮和决定后的当前版本。</x:v>
      </x:c>
      <x:c r="F25" s="19" t="str">
        <x:v>代码与自动化齐全；375px/录屏待补</x:v>
      </x:c>
      <x:c r="G25" s="19" t="str">
        <x:v>建议补手机宽度截图或短录屏。</x:v>
      </x:c>
    </x:row>
    <x:row r="26" ht="66" customHeight="1">
      <x:c r="A26" s="38" t="str">
        <x:v>S1-T021</x:v>
      </x:c>
      <x:c r="B26" s="38" t="str">
        <x:v>王敬博</x:v>
      </x:c>
      <x:c r="C26" s="38" t="str">
        <x:v>已实现</x:v>
      </x:c>
      <x:c r="D26" s="19" t="str">
        <x:v>frontend/src/pages/SummaryPage.tsx；backend/tests/test_trip_summary.py</x:v>
      </x:c>
      <x:c r="E26" s="19" t="str">
        <x:v>完成或跳过剩余任务，进入总结页。</x:v>
      </x:c>
      <x:c r="F26" s="19" t="str">
        <x:v>汇总页面与数据测试齐全</x:v>
      </x:c>
      <x:c r="G26" s="19" t="str">
        <x:v>无关键功能缺口。</x:v>
      </x:c>
    </x:row>
    <x:row r="27" ht="66" customHeight="1">
      <x:c r="A27" s="38" t="str">
        <x:v>S1-T022</x:v>
      </x:c>
      <x:c r="B27" s="38" t="str">
        <x:v>林粲涵</x:v>
      </x:c>
      <x:c r="C27" s="38" t="str">
        <x:v>未完整实现</x:v>
      </x:c>
      <x:c r="D27" s="19" t="str">
        <x:v>现有 Summary 能展示单次结果，但未找到三路径固定端到端 Fixture/报告。</x:v>
      </x:c>
      <x:c r="E27" s="19" t="str">
        <x:v>可演示当前一条“接受 V2”路径，但不要宣称三条路径均已验收。</x:v>
      </x:c>
      <x:c r="F27" s="19" t="str">
        <x:v>缺三条固定路径自动化追溯</x:v>
      </x:c>
      <x:c r="G27" s="19" t="str">
        <x:v>缺三条固定总结路径、事件/版本追溯自动化和证据包。</x:v>
      </x:c>
    </x:row>
    <x:row r="28" ht="66" customHeight="1">
      <x:c r="A28" s="38" t="str">
        <x:v>S1-T023</x:v>
      </x:c>
      <x:c r="B28" s="38" t="str">
        <x:v>王敬博</x:v>
      </x:c>
      <x:c r="C28" s="38" t="str">
        <x:v>部分实现</x:v>
      </x:c>
      <x:c r="D28" s="19" t="str">
        <x:v>render.yaml；Dockerfile；deploy/README.md；backend/tests/test_deployment_contract.py</x:v>
      </x:c>
      <x:c r="E28" s="19" t="str">
        <x:v>展示 render.yaml/Dockerfile；若老师要求公网，说明当前前端 URL 返回 404。</x:v>
      </x:c>
      <x:c r="F28" s="19" t="str">
        <x:v>部署配置已提交；公网前端证据失败</x:v>
      </x:c>
      <x:c r="G28" s="19" t="str">
        <x:v>https://xingzhi-travel-web.onrender.com/ 当前 404；缺公网前端、截图与实际部署流水线证据。</x:v>
      </x:c>
    </x:row>
    <x:row r="29" ht="66" customHeight="1">
      <x:c r="A29" s="38" t="str">
        <x:v>S1-T024</x:v>
      </x:c>
      <x:c r="B29" s="38" t="str">
        <x:v>陈梓元</x:v>
      </x:c>
      <x:c r="C29" s="38" t="str">
        <x:v>部分实现</x:v>
      </x:c>
      <x:c r="D29" s="19" t="str">
        <x:v>本地只读验收已走通完整 happy path；后端 193 passed；前端 lint/build passed。</x:v>
      </x:c>
      <x:c r="E29" s="19" t="str">
        <x:v>按演示脚本走 AssistanceProfile→V1→+50→V2→接受/拒绝→总结。</x:v>
      </x:c>
      <x:c r="F29" s="19" t="str">
        <x:v>本地主流程现场通过；公网/90秒证据缺失</x:v>
      </x:c>
      <x:c r="G29" s="19" t="str">
        <x:v>受 T018/T022/T023 影响；公网前端不可用，未证明 90 秒内稳定完成。</x:v>
      </x:c>
    </x:row>
    <x:row r="30">
      <x:c r="A30" s="2"/>
      <x:c r="B30" s="2"/>
      <x:c r="C30" s="2"/>
      <x:c r="D30" s="2"/>
      <x:c r="E30" s="2"/>
      <x:c r="F30" s="2"/>
      <x:c r="G30" s="2"/>
    </x:row>
    <x:row r="31">
      <x:c r="A31" s="41" t="str">
        <x:v>核查记录：远程最新代码后端 193 passed；前端 lint/build 通过；本地主链已走通“约束确认→真实高德计划→V1→执行事件→+50 元→V2 Diff→接受→总结”。</x:v>
      </x:c>
      <x:c r="B31" s="41"/>
      <x:c r="C31" s="41"/>
      <x:c r="D31" s="41"/>
      <x:c r="E31" s="41"/>
      <x:c r="F31" s="41"/>
      <x:c r="G31" s="41"/>
    </x:row>
    <x:row r="32">
      <x:c r="A32" s="41"/>
      <x:c r="B32" s="41"/>
      <x:c r="C32" s="41"/>
      <x:c r="D32" s="41"/>
      <x:c r="E32" s="41"/>
      <x:c r="F32" s="41"/>
      <x:c r="G32" s="41"/>
    </x:row>
    <x:row r="33">
      <x:c r="A33" s="2"/>
      <x:c r="B33" s="2"/>
      <x:c r="C33" s="2"/>
      <x:c r="D33" s="2"/>
      <x:c r="E33" s="2"/>
      <x:c r="F33" s="2"/>
      <x:c r="G33" s="2"/>
    </x:row>
    <x:row r="34">
      <x:c r="A34" s="2"/>
      <x:c r="B34" s="2"/>
      <x:c r="C34" s="2"/>
      <x:c r="D34" s="2"/>
      <x:c r="E34" s="2"/>
      <x:c r="F34" s="2"/>
      <x:c r="G34" s="2"/>
    </x:row>
    <x:row r="35">
      <x:c r="A35" s="2"/>
      <x:c r="B35" s="2"/>
      <x:c r="C35" s="2"/>
      <x:c r="D35" s="2"/>
      <x:c r="E35" s="2"/>
      <x:c r="F35" s="2"/>
      <x:c r="G35" s="2"/>
    </x:row>
  </x:sheetData>
  <x:mergeCells>
    <x:mergeCell ref="A1:G2"/>
    <x:mergeCell ref="A3:G3"/>
    <x:mergeCell ref="A31:G31"/>
    <x:mergeCell ref="A31:G32"/>
  </x:mergeCells>
  <x:conditionalFormatting sqref="C6:C29">
    <x:cfRule type="containsText" dxfId="14" priority="1" operator="containsText" text="已实现"/>
    <x:cfRule type="containsText" dxfId="15" priority="2" operator="containsText" text="部分实现"/>
    <x:cfRule type="containsText" dxfId="16" priority="3" operator="containsText" text="未完整实现"/>
  </x:conditionalFormatting>
  <x:pageMargins left="0.7" right="0.7" top="0.75" bottom="0.75" header="0.3" footer="0.3"/>
  <x:tableParts count="1">
    <x:tablePart xmlns:r="http://schemas.openxmlformats.org/officeDocument/2006/relationships" r:id="R1e754d6bcde04882"/>
  </x:tableParts>
</x:worksheet>
</file>